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c78e92d0a04f0737/Documents/"/>
    </mc:Choice>
  </mc:AlternateContent>
  <xr:revisionPtr revIDLastSave="0" documentId="8_{AC2E371C-9252-4A55-B972-30414B1FC2D4}" xr6:coauthVersionLast="47" xr6:coauthVersionMax="47" xr10:uidLastSave="{00000000-0000-0000-0000-000000000000}"/>
  <bookViews>
    <workbookView xWindow="-108" yWindow="-108" windowWidth="23256" windowHeight="12456" activeTab="2" xr2:uid="{00000000-000D-0000-FFFF-FFFF00000000}"/>
  </bookViews>
  <sheets>
    <sheet name="Pivot Table " sheetId="2" r:id="rId1"/>
    <sheet name="Dashboard" sheetId="3" r:id="rId2"/>
    <sheet name="Raw Data " sheetId="1" r:id="rId3"/>
  </sheets>
  <definedNames>
    <definedName name="Slicer_Department">#N/A</definedName>
    <definedName name="Slicer_Department1">#N/A</definedName>
    <definedName name="Slicer_Department2">#N/A</definedName>
    <definedName name="Slicer_Employee_Name">#N/A</definedName>
    <definedName name="Slicer_Month">#N/A</definedName>
  </definedNames>
  <calcPr calcId="191028"/>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2" i="1"/>
</calcChain>
</file>

<file path=xl/sharedStrings.xml><?xml version="1.0" encoding="utf-8"?>
<sst xmlns="http://schemas.openxmlformats.org/spreadsheetml/2006/main" count="540" uniqueCount="66">
  <si>
    <t>Department</t>
  </si>
  <si>
    <t>Average of Attendance %</t>
  </si>
  <si>
    <t>Month</t>
  </si>
  <si>
    <t>Sum of Absent</t>
  </si>
  <si>
    <t>Sum of Leave</t>
  </si>
  <si>
    <t>Employee Name</t>
  </si>
  <si>
    <t>Finance</t>
  </si>
  <si>
    <t>Jan</t>
  </si>
  <si>
    <t>Aditya Mishra</t>
  </si>
  <si>
    <t>HR</t>
  </si>
  <si>
    <t>Feb</t>
  </si>
  <si>
    <t>Amit Sharma</t>
  </si>
  <si>
    <t>IT</t>
  </si>
  <si>
    <t>Mar</t>
  </si>
  <si>
    <t>Anjali Mehta</t>
  </si>
  <si>
    <t>Operations</t>
  </si>
  <si>
    <t>Apr</t>
  </si>
  <si>
    <t>Arjun Nair</t>
  </si>
  <si>
    <t>Sales</t>
  </si>
  <si>
    <t>May</t>
  </si>
  <si>
    <t>Deepak Pawar</t>
  </si>
  <si>
    <t>Grand Total</t>
  </si>
  <si>
    <t>Jun</t>
  </si>
  <si>
    <t>Karan Shah</t>
  </si>
  <si>
    <t>Komal Yadav</t>
  </si>
  <si>
    <t>Manoj Gupta</t>
  </si>
  <si>
    <t>Meena Rao</t>
  </si>
  <si>
    <t>Neha Gupta</t>
  </si>
  <si>
    <t>Nisha Joshi</t>
  </si>
  <si>
    <t>Pooja Patil</t>
  </si>
  <si>
    <t>Priya Singh</t>
  </si>
  <si>
    <t>Rahul Verma</t>
  </si>
  <si>
    <t>Riya Das</t>
  </si>
  <si>
    <t>Rohit Patel</t>
  </si>
  <si>
    <t>Saurabh Kulkarni</t>
  </si>
  <si>
    <t>Shreya Roy</t>
  </si>
  <si>
    <t>Sneha Jain</t>
  </si>
  <si>
    <t>Vikas Kumar</t>
  </si>
  <si>
    <t xml:space="preserve">                                Insights </t>
  </si>
  <si>
    <t>Employee ID</t>
  </si>
  <si>
    <t>Working Days</t>
  </si>
  <si>
    <t>Present</t>
  </si>
  <si>
    <t>Absent</t>
  </si>
  <si>
    <t>Leave</t>
  </si>
  <si>
    <t xml:space="preserve">Attendance % </t>
  </si>
  <si>
    <t>E101</t>
  </si>
  <si>
    <t>E102</t>
  </si>
  <si>
    <t>E103</t>
  </si>
  <si>
    <t>E104</t>
  </si>
  <si>
    <t>E105</t>
  </si>
  <si>
    <t>E106</t>
  </si>
  <si>
    <t>E107</t>
  </si>
  <si>
    <t>E108</t>
  </si>
  <si>
    <t>E109</t>
  </si>
  <si>
    <t>E110</t>
  </si>
  <si>
    <t>E111</t>
  </si>
  <si>
    <t>E112</t>
  </si>
  <si>
    <t>E113</t>
  </si>
  <si>
    <t>E114</t>
  </si>
  <si>
    <t>E115</t>
  </si>
  <si>
    <t>E116</t>
  </si>
  <si>
    <t>E117</t>
  </si>
  <si>
    <t>E118</t>
  </si>
  <si>
    <t>E119</t>
  </si>
  <si>
    <t>E120</t>
  </si>
  <si>
    <t>EMPLOYEE ATTENDANCE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</si>
</sst>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8"/>
      <color rgb="FF000000"/>
      <name val="Calibri"/>
      <scheme val="minor"/>
    </font>
    <font>
      <sz val="18"/>
      <color theme="1"/>
      <name val="Calibri"/>
      <family val="2"/>
      <scheme val="minor"/>
    </font>
    <font>
      <b/>
      <sz val="18"/>
      <color theme="1"/>
      <name val="Calibri"/>
      <family val="2"/>
      <scheme val="minor"/>
    </font>
    <font>
      <b/>
      <sz val="24"/>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2" tint="-0.249977111117893"/>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10" fontId="0" fillId="0" borderId="0" xfId="0" applyNumberFormat="1"/>
    <xf numFmtId="0" fontId="0" fillId="0" borderId="0" xfId="0" pivotButton="1"/>
    <xf numFmtId="0" fontId="1"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left" vertical="center"/>
    </xf>
    <xf numFmtId="0" fontId="3" fillId="3" borderId="0" xfId="0" applyFont="1" applyFill="1" applyAlignment="1">
      <alignment horizontal="center" vertical="center"/>
    </xf>
    <xf numFmtId="0" fontId="0" fillId="4" borderId="0" xfId="0" applyFill="1"/>
    <xf numFmtId="0" fontId="4" fillId="3" borderId="0" xfId="0" applyFont="1" applyFill="1" applyAlignment="1">
      <alignment horizontal="center" vertical="center"/>
    </xf>
    <xf numFmtId="0" fontId="3" fillId="3"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Tracker.xlsx]Pivot Table !PivotTable1</c:name>
    <c:fmtId val="4"/>
  </c:pivotSource>
  <c:chart>
    <c:title>
      <c:tx>
        <c:rich>
          <a:bodyPr rot="0" spcFirstLastPara="1" vertOverflow="ellipsis" vert="horz" wrap="square" anchor="ctr" anchorCtr="1"/>
          <a:lstStyle/>
          <a:p>
            <a:pPr>
              <a:defRPr b="1" i="0" u="none" strike="noStrike" kern="1200" baseline="0">
                <a:solidFill>
                  <a:schemeClr val="dk1">
                    <a:lumMod val="65000"/>
                    <a:lumOff val="35000"/>
                  </a:schemeClr>
                </a:solidFill>
                <a:effectLst/>
                <a:latin typeface="Browallia New"/>
                <a:ea typeface="Browallia New"/>
                <a:cs typeface="Browallia New"/>
              </a:defRPr>
            </a:pPr>
            <a:r>
              <a:rPr lang="en-US"/>
              <a:t>Department Wise Attendance</a:t>
            </a:r>
          </a:p>
        </c:rich>
      </c:tx>
      <c:overlay val="0"/>
      <c:spPr>
        <a:noFill/>
        <a:ln>
          <a:noFill/>
        </a:ln>
        <a:effectLst/>
      </c:spPr>
      <c:txPr>
        <a:bodyPr rot="0" spcFirstLastPara="1" vertOverflow="ellipsis" vert="horz" wrap="square" anchor="ctr" anchorCtr="1"/>
        <a:lstStyle/>
        <a:p>
          <a:pPr>
            <a:defRPr b="1" i="0" u="none" strike="noStrike" kern="1200" baseline="0">
              <a:solidFill>
                <a:schemeClr val="dk1">
                  <a:lumMod val="65000"/>
                  <a:lumOff val="35000"/>
                </a:schemeClr>
              </a:solidFill>
              <a:effectLst/>
              <a:latin typeface="Browallia New"/>
              <a:ea typeface="Browallia New"/>
              <a:cs typeface="Browallia New"/>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'!$A$4:$A$9</c:f>
              <c:strCache>
                <c:ptCount val="5"/>
                <c:pt idx="0">
                  <c:v>Finance</c:v>
                </c:pt>
                <c:pt idx="1">
                  <c:v>HR</c:v>
                </c:pt>
                <c:pt idx="2">
                  <c:v>IT</c:v>
                </c:pt>
                <c:pt idx="3">
                  <c:v>Operations</c:v>
                </c:pt>
                <c:pt idx="4">
                  <c:v>Sales</c:v>
                </c:pt>
              </c:strCache>
            </c:strRef>
          </c:cat>
          <c:val>
            <c:numRef>
              <c:f>'Pivot Table '!$B$4:$B$9</c:f>
              <c:numCache>
                <c:formatCode>0.00%</c:formatCode>
                <c:ptCount val="5"/>
                <c:pt idx="0">
                  <c:v>0.95210683760683767</c:v>
                </c:pt>
                <c:pt idx="1">
                  <c:v>0.93754036087369408</c:v>
                </c:pt>
                <c:pt idx="2">
                  <c:v>0.95152243589743579</c:v>
                </c:pt>
                <c:pt idx="3">
                  <c:v>0.95122435897435886</c:v>
                </c:pt>
                <c:pt idx="4">
                  <c:v>0.94561403508771935</c:v>
                </c:pt>
              </c:numCache>
            </c:numRef>
          </c:val>
          <c:extLst>
            <c:ext xmlns:c16="http://schemas.microsoft.com/office/drawing/2014/chart" uri="{C3380CC4-5D6E-409C-BE32-E72D297353CC}">
              <c16:uniqueId val="{00000000-F06D-427D-AAD8-E388FE932B4A}"/>
            </c:ext>
          </c:extLst>
        </c:ser>
        <c:dLbls>
          <c:dLblPos val="inEnd"/>
          <c:showLegendKey val="0"/>
          <c:showVal val="1"/>
          <c:showCatName val="0"/>
          <c:showSerName val="0"/>
          <c:showPercent val="0"/>
          <c:showBubbleSize val="0"/>
        </c:dLbls>
        <c:gapWidth val="41"/>
        <c:axId val="1511622664"/>
        <c:axId val="1511997448"/>
      </c:barChart>
      <c:catAx>
        <c:axId val="1511622664"/>
        <c:scaling>
          <c:orientation val="minMax"/>
        </c:scaling>
        <c:delete val="0"/>
        <c:axPos val="b"/>
        <c:title>
          <c:tx>
            <c:rich>
              <a:bodyPr rot="0" spcFirstLastPara="1" vertOverflow="ellipsis" vert="horz" wrap="square" anchor="ctr" anchorCtr="1"/>
              <a:lstStyle/>
              <a:p>
                <a:pPr>
                  <a:defRPr sz="1400" b="1" i="0" u="sng" strike="noStrike" kern="1200" baseline="0">
                    <a:solidFill>
                      <a:schemeClr val="dk1">
                        <a:lumMod val="65000"/>
                        <a:lumOff val="35000"/>
                      </a:schemeClr>
                    </a:solidFill>
                    <a:latin typeface="Browallia New"/>
                    <a:ea typeface="Browallia New"/>
                    <a:cs typeface="Browallia New"/>
                  </a:defRPr>
                </a:pPr>
                <a:r>
                  <a:rPr lang="en-US"/>
                  <a:t>Departments </a:t>
                </a:r>
              </a:p>
            </c:rich>
          </c:tx>
          <c:overlay val="0"/>
          <c:spPr>
            <a:noFill/>
            <a:ln>
              <a:noFill/>
            </a:ln>
            <a:effectLst/>
          </c:spPr>
          <c:txPr>
            <a:bodyPr rot="0" spcFirstLastPara="1" vertOverflow="ellipsis" vert="horz" wrap="square" anchor="ctr" anchorCtr="1"/>
            <a:lstStyle/>
            <a:p>
              <a:pPr>
                <a:defRPr sz="1400" b="1" i="0" u="sng" strike="noStrike" kern="1200" baseline="0">
                  <a:solidFill>
                    <a:schemeClr val="dk1">
                      <a:lumMod val="65000"/>
                      <a:lumOff val="35000"/>
                    </a:schemeClr>
                  </a:solidFill>
                  <a:latin typeface="Browallia New"/>
                  <a:ea typeface="Browallia New"/>
                  <a:cs typeface="Browallia New"/>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511997448"/>
        <c:crosses val="autoZero"/>
        <c:auto val="1"/>
        <c:lblAlgn val="ctr"/>
        <c:lblOffset val="100"/>
        <c:noMultiLvlLbl val="0"/>
      </c:catAx>
      <c:valAx>
        <c:axId val="1511997448"/>
        <c:scaling>
          <c:orientation val="minMax"/>
        </c:scaling>
        <c:delete val="1"/>
        <c:axPos val="l"/>
        <c:title>
          <c:tx>
            <c:rich>
              <a:bodyPr rot="-5400000" spcFirstLastPara="1" vertOverflow="ellipsis" vert="horz" wrap="square" anchor="ctr" anchorCtr="1"/>
              <a:lstStyle/>
              <a:p>
                <a:pPr>
                  <a:defRPr sz="1400" b="1" i="0" u="none" strike="noStrike" kern="1200" baseline="0">
                    <a:solidFill>
                      <a:schemeClr val="dk1">
                        <a:lumMod val="65000"/>
                        <a:lumOff val="35000"/>
                      </a:schemeClr>
                    </a:solidFill>
                    <a:latin typeface="Browallia New"/>
                    <a:ea typeface="Browallia New"/>
                    <a:cs typeface="Browallia New"/>
                  </a:defRPr>
                </a:pPr>
                <a:r>
                  <a:rPr lang="en-US"/>
                  <a:t>Attendance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dk1">
                      <a:lumMod val="65000"/>
                      <a:lumOff val="35000"/>
                    </a:schemeClr>
                  </a:solidFill>
                  <a:latin typeface="Browallia New"/>
                  <a:ea typeface="Browallia New"/>
                  <a:cs typeface="Browallia New"/>
                </a:defRPr>
              </a:pPr>
              <a:endParaRPr lang="en-US"/>
            </a:p>
          </c:txPr>
        </c:title>
        <c:numFmt formatCode="0.00%" sourceLinked="1"/>
        <c:majorTickMark val="none"/>
        <c:minorTickMark val="none"/>
        <c:tickLblPos val="nextTo"/>
        <c:crossAx val="1511622664"/>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Tracker.xlsx]Pivot Table !PivotTable2</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Browallia New"/>
                <a:ea typeface="Browallia New"/>
                <a:cs typeface="Browallia New"/>
              </a:defRPr>
            </a:pPr>
            <a:r>
              <a:rPr lang="en-US"/>
              <a:t>Month Wise Attendance </a:t>
            </a:r>
          </a:p>
        </c:rich>
      </c:tx>
      <c:layout>
        <c:manualLayout>
          <c:xMode val="edge"/>
          <c:yMode val="edge"/>
          <c:x val="0.27037751011350392"/>
          <c:y val="0.11949535119916137"/>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Browallia New"/>
              <a:ea typeface="Browallia New"/>
              <a:cs typeface="Browallia New"/>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'!$E$3</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'!$D$4:$D$10</c:f>
              <c:strCache>
                <c:ptCount val="6"/>
                <c:pt idx="0">
                  <c:v>Jan</c:v>
                </c:pt>
                <c:pt idx="1">
                  <c:v>Feb</c:v>
                </c:pt>
                <c:pt idx="2">
                  <c:v>Mar</c:v>
                </c:pt>
                <c:pt idx="3">
                  <c:v>Apr</c:v>
                </c:pt>
                <c:pt idx="4">
                  <c:v>May</c:v>
                </c:pt>
                <c:pt idx="5">
                  <c:v>Jun</c:v>
                </c:pt>
              </c:strCache>
            </c:strRef>
          </c:cat>
          <c:val>
            <c:numRef>
              <c:f>'Pivot Table '!$E$4:$E$10</c:f>
              <c:numCache>
                <c:formatCode>0.00%</c:formatCode>
                <c:ptCount val="6"/>
                <c:pt idx="0">
                  <c:v>0.94611538461538469</c:v>
                </c:pt>
                <c:pt idx="1">
                  <c:v>0.96674999999999989</c:v>
                </c:pt>
                <c:pt idx="2">
                  <c:v>0.95547435897435895</c:v>
                </c:pt>
                <c:pt idx="3">
                  <c:v>0.93767307692307678</c:v>
                </c:pt>
                <c:pt idx="4">
                  <c:v>0.93712820512820516</c:v>
                </c:pt>
                <c:pt idx="5">
                  <c:v>0.94208333333333327</c:v>
                </c:pt>
              </c:numCache>
            </c:numRef>
          </c:val>
          <c:extLst>
            <c:ext xmlns:c16="http://schemas.microsoft.com/office/drawing/2014/chart" uri="{C3380CC4-5D6E-409C-BE32-E72D297353CC}">
              <c16:uniqueId val="{00000000-A85F-4B97-90BB-FA93A864000D}"/>
            </c:ext>
          </c:extLst>
        </c:ser>
        <c:dLbls>
          <c:dLblPos val="inEnd"/>
          <c:showLegendKey val="0"/>
          <c:showVal val="1"/>
          <c:showCatName val="0"/>
          <c:showSerName val="0"/>
          <c:showPercent val="0"/>
          <c:showBubbleSize val="0"/>
        </c:dLbls>
        <c:gapWidth val="65"/>
        <c:axId val="887964735"/>
        <c:axId val="1170200591"/>
      </c:barChart>
      <c:catAx>
        <c:axId val="88796473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0200591"/>
        <c:crosses val="autoZero"/>
        <c:auto val="1"/>
        <c:lblAlgn val="ctr"/>
        <c:lblOffset val="100"/>
        <c:noMultiLvlLbl val="0"/>
      </c:catAx>
      <c:valAx>
        <c:axId val="117020059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796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Tracker.xlsx]Pivot Table !PivotTable3</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Browallia New"/>
                <a:ea typeface="Browallia New"/>
                <a:cs typeface="Browallia New"/>
              </a:defRPr>
            </a:pPr>
            <a:r>
              <a:rPr lang="en-US"/>
              <a:t>Department Wise Absent Days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Browallia New"/>
              <a:ea typeface="Browallia New"/>
              <a:cs typeface="Browallia New"/>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pivotFmt>
      <c:pivotFmt>
        <c:idx val="21"/>
      </c:pivotFmt>
      <c:pivotFmt>
        <c:idx val="22"/>
      </c:pivotFmt>
      <c:pivotFmt>
        <c:idx val="23"/>
      </c:pivotFmt>
      <c:pivotFmt>
        <c:idx val="24"/>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 '!$H$3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71-461F-A6BF-74CF376EC04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71-461F-A6BF-74CF376EC041}"/>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B71-461F-A6BF-74CF376EC041}"/>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B71-461F-A6BF-74CF376EC041}"/>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B71-461F-A6BF-74CF376EC04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'!$G$4:$G$9</c:f>
              <c:strCache>
                <c:ptCount val="5"/>
                <c:pt idx="0">
                  <c:v>Finance</c:v>
                </c:pt>
                <c:pt idx="1">
                  <c:v>HR</c:v>
                </c:pt>
                <c:pt idx="2">
                  <c:v>IT</c:v>
                </c:pt>
                <c:pt idx="3">
                  <c:v>Operations</c:v>
                </c:pt>
                <c:pt idx="4">
                  <c:v>Sales</c:v>
                </c:pt>
              </c:strCache>
            </c:strRef>
          </c:cat>
          <c:val>
            <c:numRef>
              <c:f>'Pivot Table '!$H$4:$H$9</c:f>
              <c:numCache>
                <c:formatCode>General</c:formatCode>
                <c:ptCount val="5"/>
                <c:pt idx="0">
                  <c:v>36</c:v>
                </c:pt>
                <c:pt idx="1">
                  <c:v>42</c:v>
                </c:pt>
                <c:pt idx="2">
                  <c:v>29</c:v>
                </c:pt>
                <c:pt idx="3">
                  <c:v>24</c:v>
                </c:pt>
                <c:pt idx="4">
                  <c:v>26</c:v>
                </c:pt>
              </c:numCache>
            </c:numRef>
          </c:val>
          <c:extLst>
            <c:ext xmlns:c16="http://schemas.microsoft.com/office/drawing/2014/chart" uri="{C3380CC4-5D6E-409C-BE32-E72D297353CC}">
              <c16:uniqueId val="{0000000A-DB71-461F-A6BF-74CF376EC04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Attendance Tracker.xlsx]Pivot Table !PivotTable4</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Browallia New"/>
                <a:ea typeface="Browallia New"/>
                <a:cs typeface="Browallia New"/>
              </a:defRPr>
            </a:pPr>
            <a:r>
              <a:rPr lang="en-US"/>
              <a:t>Department Wise Leave </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Browallia New"/>
              <a:ea typeface="Browallia New"/>
              <a:cs typeface="Browallia New"/>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'!$K$3</c:f>
              <c:strCache>
                <c:ptCount val="1"/>
                <c:pt idx="0">
                  <c:v>Total</c:v>
                </c:pt>
              </c:strCache>
            </c:strRef>
          </c:tx>
          <c:spPr>
            <a:solidFill>
              <a:schemeClr val="accent1"/>
            </a:solidFill>
            <a:ln>
              <a:noFill/>
            </a:ln>
            <a:effectLst/>
          </c:spPr>
          <c:invertIfNegative val="0"/>
          <c:cat>
            <c:strRef>
              <c:f>'Pivot Table '!$J$4:$J$9</c:f>
              <c:strCache>
                <c:ptCount val="5"/>
                <c:pt idx="0">
                  <c:v>Finance</c:v>
                </c:pt>
                <c:pt idx="1">
                  <c:v>HR</c:v>
                </c:pt>
                <c:pt idx="2">
                  <c:v>IT</c:v>
                </c:pt>
                <c:pt idx="3">
                  <c:v>Operations</c:v>
                </c:pt>
                <c:pt idx="4">
                  <c:v>Sales</c:v>
                </c:pt>
              </c:strCache>
            </c:strRef>
          </c:cat>
          <c:val>
            <c:numRef>
              <c:f>'Pivot Table '!$K$4:$K$9</c:f>
              <c:numCache>
                <c:formatCode>General</c:formatCode>
                <c:ptCount val="5"/>
                <c:pt idx="0">
                  <c:v>30</c:v>
                </c:pt>
                <c:pt idx="1">
                  <c:v>25</c:v>
                </c:pt>
                <c:pt idx="2">
                  <c:v>26</c:v>
                </c:pt>
                <c:pt idx="3">
                  <c:v>19</c:v>
                </c:pt>
                <c:pt idx="4">
                  <c:v>16</c:v>
                </c:pt>
              </c:numCache>
            </c:numRef>
          </c:val>
          <c:extLst>
            <c:ext xmlns:c16="http://schemas.microsoft.com/office/drawing/2014/chart" uri="{C3380CC4-5D6E-409C-BE32-E72D297353CC}">
              <c16:uniqueId val="{00000000-DBA7-4361-B371-903DD9FF1CF3}"/>
            </c:ext>
          </c:extLst>
        </c:ser>
        <c:dLbls>
          <c:showLegendKey val="0"/>
          <c:showVal val="0"/>
          <c:showCatName val="0"/>
          <c:showSerName val="0"/>
          <c:showPercent val="0"/>
          <c:showBubbleSize val="0"/>
        </c:dLbls>
        <c:gapWidth val="247"/>
        <c:axId val="1968185863"/>
        <c:axId val="1464332807"/>
      </c:barChart>
      <c:catAx>
        <c:axId val="196818586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464332807"/>
        <c:crosses val="autoZero"/>
        <c:auto val="1"/>
        <c:lblAlgn val="ctr"/>
        <c:lblOffset val="100"/>
        <c:noMultiLvlLbl val="0"/>
      </c:catAx>
      <c:valAx>
        <c:axId val="146433280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6818586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[Employee Attendance Tracker.xlsx]Pivot Table !PivotTable5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rowallia New"/>
                <a:ea typeface="Browallia New"/>
                <a:cs typeface="Browallia New"/>
              </a:defRPr>
            </a:pPr>
            <a:r>
              <a:rPr lang="en-US"/>
              <a:t>Attendance By Employees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Browallia New"/>
              <a:ea typeface="Browallia New"/>
              <a:cs typeface="Browallia New"/>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'!$N$3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 '!$M$4:$M$17</c:f>
              <c:strCache>
                <c:ptCount val="13"/>
                <c:pt idx="0">
                  <c:v>Manoj Gupta</c:v>
                </c:pt>
                <c:pt idx="1">
                  <c:v>Meena Rao</c:v>
                </c:pt>
                <c:pt idx="2">
                  <c:v>Neha Gupta</c:v>
                </c:pt>
                <c:pt idx="3">
                  <c:v>Nisha Joshi</c:v>
                </c:pt>
                <c:pt idx="4">
                  <c:v>Pooja Patil</c:v>
                </c:pt>
                <c:pt idx="5">
                  <c:v>Priya Singh</c:v>
                </c:pt>
                <c:pt idx="6">
                  <c:v>Rahul Verma</c:v>
                </c:pt>
                <c:pt idx="7">
                  <c:v>Riya Das</c:v>
                </c:pt>
                <c:pt idx="8">
                  <c:v>Rohit Patel</c:v>
                </c:pt>
                <c:pt idx="9">
                  <c:v>Saurabh Kulkarni</c:v>
                </c:pt>
                <c:pt idx="10">
                  <c:v>Shreya Roy</c:v>
                </c:pt>
                <c:pt idx="11">
                  <c:v>Sneha Jain</c:v>
                </c:pt>
                <c:pt idx="12">
                  <c:v>Vikas Kumar</c:v>
                </c:pt>
              </c:strCache>
            </c:strRef>
          </c:cat>
          <c:val>
            <c:numRef>
              <c:f>'Pivot Table '!$N$4:$N$17</c:f>
              <c:numCache>
                <c:formatCode>0.00%</c:formatCode>
                <c:ptCount val="13"/>
                <c:pt idx="0">
                  <c:v>0.95303418803418805</c:v>
                </c:pt>
                <c:pt idx="1">
                  <c:v>0.93271367521367532</c:v>
                </c:pt>
                <c:pt idx="2">
                  <c:v>0.95166666666666666</c:v>
                </c:pt>
                <c:pt idx="3">
                  <c:v>0.9869230769230769</c:v>
                </c:pt>
                <c:pt idx="4">
                  <c:v>0.96666666666666667</c:v>
                </c:pt>
                <c:pt idx="5">
                  <c:v>0.94128205128205134</c:v>
                </c:pt>
                <c:pt idx="6">
                  <c:v>0.93055555555555547</c:v>
                </c:pt>
                <c:pt idx="7">
                  <c:v>0.92735042735042728</c:v>
                </c:pt>
                <c:pt idx="8">
                  <c:v>0.96634615384615385</c:v>
                </c:pt>
                <c:pt idx="9">
                  <c:v>0.97997863247863248</c:v>
                </c:pt>
                <c:pt idx="10">
                  <c:v>0.98717948717948723</c:v>
                </c:pt>
                <c:pt idx="11">
                  <c:v>0.95354700854700869</c:v>
                </c:pt>
                <c:pt idx="12">
                  <c:v>0.94044871794871787</c:v>
                </c:pt>
              </c:numCache>
            </c:numRef>
          </c:val>
          <c:extLst>
            <c:ext xmlns:c16="http://schemas.microsoft.com/office/drawing/2014/chart" uri="{C3380CC4-5D6E-409C-BE32-E72D297353CC}">
              <c16:uniqueId val="{00000000-6BD2-481F-927F-194E9B8161F1}"/>
            </c:ext>
          </c:extLst>
        </c:ser>
        <c:dLbls>
          <c:showLegendKey val="0"/>
          <c:showVal val="0"/>
          <c:showCatName val="0"/>
          <c:showSerName val="0"/>
          <c:showPercent val="0"/>
          <c:showBubbleSize val="0"/>
        </c:dLbls>
        <c:gapWidth val="100"/>
        <c:overlap val="-24"/>
        <c:axId val="2050925575"/>
        <c:axId val="2050927623"/>
      </c:barChart>
      <c:catAx>
        <c:axId val="20509255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927623"/>
        <c:crosses val="autoZero"/>
        <c:auto val="1"/>
        <c:lblAlgn val="ctr"/>
        <c:lblOffset val="100"/>
        <c:noMultiLvlLbl val="0"/>
      </c:catAx>
      <c:valAx>
        <c:axId val="205092762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5092557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161925</xdr:colOff>
      <xdr:row>9</xdr:row>
      <xdr:rowOff>104775</xdr:rowOff>
    </xdr:from>
    <xdr:to>
      <xdr:col>1</xdr:col>
      <xdr:colOff>1106805</xdr:colOff>
      <xdr:row>17</xdr:row>
      <xdr:rowOff>133350</xdr:rowOff>
    </xdr:to>
    <mc:AlternateContent xmlns:mc="http://schemas.openxmlformats.org/markup-compatibility/2006" xmlns:a14="http://schemas.microsoft.com/office/drawing/2010/main">
      <mc:Choice Requires="a14">
        <xdr:graphicFrame macro="">
          <xdr:nvGraphicFramePr>
            <xdr:cNvPr id="4" name="Department">
              <a:extLst>
                <a:ext uri="{FF2B5EF4-FFF2-40B4-BE49-F238E27FC236}">
                  <a16:creationId xmlns:a16="http://schemas.microsoft.com/office/drawing/2014/main" id="{979E717F-FB82-8948-40E9-2D4893AA8FA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14300" y="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3</xdr:col>
      <xdr:colOff>66675</xdr:colOff>
      <xdr:row>10</xdr:row>
      <xdr:rowOff>123825</xdr:rowOff>
    </xdr:from>
    <xdr:to>
      <xdr:col>4</xdr:col>
      <xdr:colOff>1171575</xdr:colOff>
      <xdr:row>20</xdr:row>
      <xdr:rowOff>114300</xdr:rowOff>
    </xdr:to>
    <mc:AlternateContent xmlns:mc="http://schemas.openxmlformats.org/markup-compatibility/2006" xmlns:a14="http://schemas.microsoft.com/office/drawing/2010/main">
      <mc:Choice Requires="a14">
        <xdr:graphicFrame macro="">
          <xdr:nvGraphicFramePr>
            <xdr:cNvPr id="2" name="Month">
              <a:extLst>
                <a:ext uri="{FF2B5EF4-FFF2-40B4-BE49-F238E27FC236}">
                  <a16:creationId xmlns:a16="http://schemas.microsoft.com/office/drawing/2014/main" id="{18FBDE40-9C59-FF65-FCC6-2869536B93CB}"/>
                </a:ext>
                <a:ext uri="{147F2762-F138-4A5C-976F-8EAC2B608ADB}">
                  <a16:predDERef xmlns:a16="http://schemas.microsoft.com/office/drawing/2014/main" pred="{979E717F-FB82-8948-40E9-2D4893AA8FA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90950" y="1933575"/>
              <a:ext cx="1828800" cy="18002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6</xdr:col>
      <xdr:colOff>123825</xdr:colOff>
      <xdr:row>10</xdr:row>
      <xdr:rowOff>161925</xdr:rowOff>
    </xdr:from>
    <xdr:to>
      <xdr:col>8</xdr:col>
      <xdr:colOff>175260</xdr:colOff>
      <xdr:row>19</xdr:row>
      <xdr:rowOff>142875</xdr:rowOff>
    </xdr:to>
    <mc:AlternateContent xmlns:mc="http://schemas.openxmlformats.org/markup-compatibility/2006" xmlns:a14="http://schemas.microsoft.com/office/drawing/2010/main">
      <mc:Choice Requires="a14">
        <xdr:graphicFrame macro="">
          <xdr:nvGraphicFramePr>
            <xdr:cNvPr id="3" name="Department 2">
              <a:extLst>
                <a:ext uri="{FF2B5EF4-FFF2-40B4-BE49-F238E27FC236}">
                  <a16:creationId xmlns:a16="http://schemas.microsoft.com/office/drawing/2014/main" id="{31C69859-B5CD-1F46-9E48-1CAB30F09588}"/>
                </a:ext>
                <a:ext uri="{147F2762-F138-4A5C-976F-8EAC2B608ADB}">
                  <a16:predDERef xmlns:a16="http://schemas.microsoft.com/office/drawing/2014/main" pred="{18FBDE40-9C59-FF65-FCC6-2869536B93CB}"/>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715250" y="1971675"/>
              <a:ext cx="1828800" cy="16097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8</xdr:col>
      <xdr:colOff>885825</xdr:colOff>
      <xdr:row>12</xdr:row>
      <xdr:rowOff>133350</xdr:rowOff>
    </xdr:from>
    <xdr:to>
      <xdr:col>11</xdr:col>
      <xdr:colOff>60960</xdr:colOff>
      <xdr:row>21</xdr:row>
      <xdr:rowOff>123825</xdr:rowOff>
    </xdr:to>
    <mc:AlternateContent xmlns:mc="http://schemas.openxmlformats.org/markup-compatibility/2006" xmlns:a14="http://schemas.microsoft.com/office/drawing/2010/main">
      <mc:Choice Requires="a14">
        <xdr:graphicFrame macro="">
          <xdr:nvGraphicFramePr>
            <xdr:cNvPr id="5" name="Department 3">
              <a:extLst>
                <a:ext uri="{FF2B5EF4-FFF2-40B4-BE49-F238E27FC236}">
                  <a16:creationId xmlns:a16="http://schemas.microsoft.com/office/drawing/2014/main" id="{FBF2FB56-6049-A4AA-04A8-C15143FAD0B7}"/>
                </a:ext>
                <a:ext uri="{147F2762-F138-4A5C-976F-8EAC2B608ADB}">
                  <a16:predDERef xmlns:a16="http://schemas.microsoft.com/office/drawing/2014/main" pred="{31C69859-B5CD-1F46-9E48-1CAB30F09588}"/>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10391775" y="2305050"/>
              <a:ext cx="1828800" cy="161925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14</xdr:col>
      <xdr:colOff>533400</xdr:colOff>
      <xdr:row>2</xdr:row>
      <xdr:rowOff>19050</xdr:rowOff>
    </xdr:from>
    <xdr:to>
      <xdr:col>17</xdr:col>
      <xdr:colOff>533400</xdr:colOff>
      <xdr:row>16</xdr:row>
      <xdr:rowOff>123825</xdr:rowOff>
    </xdr:to>
    <mc:AlternateContent xmlns:mc="http://schemas.openxmlformats.org/markup-compatibility/2006" xmlns:a14="http://schemas.microsoft.com/office/drawing/2010/main">
      <mc:Choice Requires="a14">
        <xdr:graphicFrame macro="">
          <xdr:nvGraphicFramePr>
            <xdr:cNvPr id="6" name="Employee Name">
              <a:extLst>
                <a:ext uri="{FF2B5EF4-FFF2-40B4-BE49-F238E27FC236}">
                  <a16:creationId xmlns:a16="http://schemas.microsoft.com/office/drawing/2014/main" id="{6DDE4F77-C48E-5FD4-24A4-5CED94DA6F62}"/>
                </a:ext>
                <a:ext uri="{147F2762-F138-4A5C-976F-8EAC2B608ADB}">
                  <a16:predDERef xmlns:a16="http://schemas.microsoft.com/office/drawing/2014/main" pred="{FBF2FB56-6049-A4AA-04A8-C15143FAD0B7}"/>
                </a:ext>
              </a:extLst>
            </xdr:cNvPr>
            <xdr:cNvGraphicFramePr/>
          </xdr:nvGraphicFramePr>
          <xdr:xfrm>
            <a:off x="0" y="0"/>
            <a:ext cx="0" cy="0"/>
          </xdr:xfrm>
          <a:graphic>
            <a:graphicData uri="http://schemas.microsoft.com/office/drawing/2010/slicer">
              <sle:slicer xmlns:sle="http://schemas.microsoft.com/office/drawing/2010/slicer" name="Employee Name"/>
            </a:graphicData>
          </a:graphic>
        </xdr:graphicFrame>
      </mc:Choice>
      <mc:Fallback xmlns="">
        <xdr:sp macro="" textlink="">
          <xdr:nvSpPr>
            <xdr:cNvPr id="0" name=""/>
            <xdr:cNvSpPr>
              <a:spLocks noTextEdit="1"/>
            </xdr:cNvSpPr>
          </xdr:nvSpPr>
          <xdr:spPr>
            <a:xfrm>
              <a:off x="16202025" y="3810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281940</xdr:colOff>
      <xdr:row>3</xdr:row>
      <xdr:rowOff>289560</xdr:rowOff>
    </xdr:to>
    <xdr:sp macro="" textlink="">
      <xdr:nvSpPr>
        <xdr:cNvPr id="3" name="Rectangle 2">
          <a:extLst>
            <a:ext uri="{FF2B5EF4-FFF2-40B4-BE49-F238E27FC236}">
              <a16:creationId xmlns:a16="http://schemas.microsoft.com/office/drawing/2014/main" id="{ABB6910B-2ACA-2D80-77E5-6E2A3DC9F7D9}"/>
            </a:ext>
          </a:extLst>
        </xdr:cNvPr>
        <xdr:cNvSpPr/>
      </xdr:nvSpPr>
      <xdr:spPr>
        <a:xfrm>
          <a:off x="0" y="0"/>
          <a:ext cx="1501140" cy="967740"/>
        </a:xfrm>
        <a:prstGeom prst="rect">
          <a:avLst/>
        </a:prstGeom>
        <a:solidFill>
          <a:schemeClr val="accent1">
            <a:lumMod val="60000"/>
            <a:lumOff val="4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600" b="1">
              <a:solidFill>
                <a:schemeClr val="tx1"/>
              </a:solidFill>
              <a:latin typeface="+mn-lt"/>
              <a:ea typeface="+mn-lt"/>
              <a:cs typeface="+mn-lt"/>
            </a:rPr>
            <a:t>       Overall  </a:t>
          </a:r>
        </a:p>
        <a:p>
          <a:pPr marL="0" indent="0" algn="l"/>
          <a:r>
            <a:rPr lang="en-US" sz="1600" b="1">
              <a:solidFill>
                <a:schemeClr val="tx1"/>
              </a:solidFill>
              <a:latin typeface="+mn-lt"/>
              <a:ea typeface="+mn-lt"/>
              <a:cs typeface="+mn-lt"/>
            </a:rPr>
            <a:t>     Employees               </a:t>
          </a:r>
        </a:p>
        <a:p>
          <a:pPr marL="0" indent="0" algn="l"/>
          <a:r>
            <a:rPr lang="en-US" sz="1600" b="1">
              <a:solidFill>
                <a:schemeClr val="tx1"/>
              </a:solidFill>
              <a:latin typeface="+mn-lt"/>
              <a:ea typeface="+mn-lt"/>
              <a:cs typeface="+mn-lt"/>
            </a:rPr>
            <a:t>         </a:t>
          </a:r>
          <a:r>
            <a:rPr lang="en-US" sz="1600" b="1" baseline="0">
              <a:solidFill>
                <a:schemeClr val="tx1"/>
              </a:solidFill>
              <a:latin typeface="+mn-lt"/>
              <a:ea typeface="+mn-lt"/>
              <a:cs typeface="+mn-lt"/>
            </a:rPr>
            <a:t> 20</a:t>
          </a:r>
        </a:p>
        <a:p>
          <a:pPr marL="0" indent="0" algn="l"/>
          <a:endParaRPr lang="en-US" sz="1400" b="1">
            <a:solidFill>
              <a:schemeClr val="tx1"/>
            </a:solidFill>
            <a:latin typeface="+mn-lt"/>
            <a:ea typeface="+mn-lt"/>
            <a:cs typeface="+mn-lt"/>
          </a:endParaRPr>
        </a:p>
      </xdr:txBody>
    </xdr:sp>
    <xdr:clientData/>
  </xdr:twoCellAnchor>
  <xdr:twoCellAnchor>
    <xdr:from>
      <xdr:col>2</xdr:col>
      <xdr:colOff>297180</xdr:colOff>
      <xdr:row>0</xdr:row>
      <xdr:rowOff>0</xdr:rowOff>
    </xdr:from>
    <xdr:to>
      <xdr:col>5</xdr:col>
      <xdr:colOff>68580</xdr:colOff>
      <xdr:row>4</xdr:row>
      <xdr:rowOff>0</xdr:rowOff>
    </xdr:to>
    <xdr:sp macro="" textlink="">
      <xdr:nvSpPr>
        <xdr:cNvPr id="2" name="Rectangle 1">
          <a:extLst>
            <a:ext uri="{FF2B5EF4-FFF2-40B4-BE49-F238E27FC236}">
              <a16:creationId xmlns:a16="http://schemas.microsoft.com/office/drawing/2014/main" id="{508129E0-36E0-BDE4-8BF7-7F5A73521EDA}"/>
            </a:ext>
            <a:ext uri="{147F2762-F138-4A5C-976F-8EAC2B608ADB}">
              <a16:predDERef xmlns:a16="http://schemas.microsoft.com/office/drawing/2014/main" pred="{ABB6910B-2ACA-2D80-77E5-6E2A3DC9F7D9}"/>
            </a:ext>
          </a:extLst>
        </xdr:cNvPr>
        <xdr:cNvSpPr/>
      </xdr:nvSpPr>
      <xdr:spPr>
        <a:xfrm>
          <a:off x="1516380" y="0"/>
          <a:ext cx="1600200" cy="975360"/>
        </a:xfrm>
        <a:prstGeom prst="rect">
          <a:avLst/>
        </a:prstGeom>
        <a:solidFill>
          <a:schemeClr val="accent6">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b="1">
              <a:solidFill>
                <a:schemeClr val="tx1"/>
              </a:solidFill>
              <a:latin typeface="+mn-lt"/>
              <a:ea typeface="+mn-lt"/>
              <a:cs typeface="+mn-lt"/>
            </a:rPr>
            <a:t>       Average             Attendance %</a:t>
          </a:r>
        </a:p>
        <a:p>
          <a:pPr marL="0" indent="0" algn="l"/>
          <a:r>
            <a:rPr lang="en-US" sz="1600" b="1">
              <a:solidFill>
                <a:schemeClr val="tx1"/>
              </a:solidFill>
              <a:latin typeface="+mn-lt"/>
              <a:ea typeface="+mn-lt"/>
              <a:cs typeface="+mn-lt"/>
            </a:rPr>
            <a:t>       94.75 %</a:t>
          </a:r>
        </a:p>
      </xdr:txBody>
    </xdr:sp>
    <xdr:clientData/>
  </xdr:twoCellAnchor>
  <xdr:twoCellAnchor>
    <xdr:from>
      <xdr:col>5</xdr:col>
      <xdr:colOff>76200</xdr:colOff>
      <xdr:row>0</xdr:row>
      <xdr:rowOff>0</xdr:rowOff>
    </xdr:from>
    <xdr:to>
      <xdr:col>7</xdr:col>
      <xdr:colOff>579120</xdr:colOff>
      <xdr:row>4</xdr:row>
      <xdr:rowOff>0</xdr:rowOff>
    </xdr:to>
    <xdr:sp macro="" textlink="">
      <xdr:nvSpPr>
        <xdr:cNvPr id="4" name="Rectangle 3">
          <a:extLst>
            <a:ext uri="{FF2B5EF4-FFF2-40B4-BE49-F238E27FC236}">
              <a16:creationId xmlns:a16="http://schemas.microsoft.com/office/drawing/2014/main" id="{A766F957-63D8-43E2-78D0-AD56151B26A3}"/>
            </a:ext>
            <a:ext uri="{147F2762-F138-4A5C-976F-8EAC2B608ADB}">
              <a16:predDERef xmlns:a16="http://schemas.microsoft.com/office/drawing/2014/main" pred="{508129E0-36E0-BDE4-8BF7-7F5A73521EDA}"/>
            </a:ext>
          </a:extLst>
        </xdr:cNvPr>
        <xdr:cNvSpPr/>
      </xdr:nvSpPr>
      <xdr:spPr>
        <a:xfrm>
          <a:off x="3124200" y="0"/>
          <a:ext cx="1722120" cy="97536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400" b="1">
              <a:solidFill>
                <a:schemeClr val="tx1"/>
              </a:solidFill>
              <a:latin typeface="+mn-lt"/>
              <a:ea typeface="+mn-lt"/>
              <a:cs typeface="+mn-lt"/>
            </a:rPr>
            <a:t>      </a:t>
          </a:r>
          <a:r>
            <a:rPr lang="en-US" sz="1600" b="1">
              <a:solidFill>
                <a:schemeClr val="tx1"/>
              </a:solidFill>
              <a:latin typeface="+mn-lt"/>
              <a:ea typeface="+mn-lt"/>
              <a:cs typeface="+mn-lt"/>
            </a:rPr>
            <a:t>Total Present                    </a:t>
          </a:r>
        </a:p>
        <a:p>
          <a:pPr marL="0" indent="0" algn="l"/>
          <a:r>
            <a:rPr lang="en-US" sz="1600" b="1" baseline="0">
              <a:solidFill>
                <a:schemeClr val="tx1"/>
              </a:solidFill>
              <a:latin typeface="+mn-lt"/>
              <a:ea typeface="+mn-lt"/>
              <a:cs typeface="+mn-lt"/>
            </a:rPr>
            <a:t>           Days</a:t>
          </a:r>
          <a:r>
            <a:rPr lang="en-US" sz="1600" b="1">
              <a:solidFill>
                <a:schemeClr val="tx1"/>
              </a:solidFill>
              <a:latin typeface="+mn-lt"/>
              <a:ea typeface="+mn-lt"/>
              <a:cs typeface="+mn-lt"/>
            </a:rPr>
            <a:t> </a:t>
          </a:r>
        </a:p>
        <a:p>
          <a:pPr marL="0" indent="0" algn="l"/>
          <a:r>
            <a:rPr lang="en-US" sz="1600" b="1">
              <a:solidFill>
                <a:schemeClr val="tx1"/>
              </a:solidFill>
              <a:latin typeface="+mn-lt"/>
              <a:ea typeface="+mn-lt"/>
              <a:cs typeface="+mn-lt"/>
            </a:rPr>
            <a:t>           2847 </a:t>
          </a:r>
        </a:p>
      </xdr:txBody>
    </xdr:sp>
    <xdr:clientData/>
  </xdr:twoCellAnchor>
  <xdr:twoCellAnchor>
    <xdr:from>
      <xdr:col>15</xdr:col>
      <xdr:colOff>495300</xdr:colOff>
      <xdr:row>0</xdr:row>
      <xdr:rowOff>0</xdr:rowOff>
    </xdr:from>
    <xdr:to>
      <xdr:col>19</xdr:col>
      <xdr:colOff>152400</xdr:colOff>
      <xdr:row>4</xdr:row>
      <xdr:rowOff>15240</xdr:rowOff>
    </xdr:to>
    <xdr:sp macro="" textlink="">
      <xdr:nvSpPr>
        <xdr:cNvPr id="5" name="Rectangle 4">
          <a:extLst>
            <a:ext uri="{FF2B5EF4-FFF2-40B4-BE49-F238E27FC236}">
              <a16:creationId xmlns:a16="http://schemas.microsoft.com/office/drawing/2014/main" id="{D14D136A-4AFE-461A-A2BB-D3069CDA475C}"/>
            </a:ext>
            <a:ext uri="{147F2762-F138-4A5C-976F-8EAC2B608ADB}">
              <a16:predDERef xmlns:a16="http://schemas.microsoft.com/office/drawing/2014/main" pred="{A766F957-63D8-43E2-78D0-AD56151B26A3}"/>
            </a:ext>
          </a:extLst>
        </xdr:cNvPr>
        <xdr:cNvSpPr/>
      </xdr:nvSpPr>
      <xdr:spPr>
        <a:xfrm>
          <a:off x="9639300" y="0"/>
          <a:ext cx="2095500" cy="99060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600" b="1">
              <a:solidFill>
                <a:schemeClr val="tx1"/>
              </a:solidFill>
              <a:latin typeface="+mn-lt"/>
              <a:ea typeface="+mn-lt"/>
              <a:cs typeface="+mn-lt"/>
            </a:rPr>
            <a:t>       Total  Absent </a:t>
          </a:r>
        </a:p>
        <a:p>
          <a:pPr marL="0" indent="0" algn="l"/>
          <a:r>
            <a:rPr lang="en-US" sz="1600" b="1">
              <a:solidFill>
                <a:schemeClr val="tx1"/>
              </a:solidFill>
              <a:latin typeface="+mn-lt"/>
              <a:ea typeface="+mn-lt"/>
              <a:cs typeface="+mn-lt"/>
            </a:rPr>
            <a:t>             Days </a:t>
          </a:r>
        </a:p>
        <a:p>
          <a:pPr marL="0" indent="0" algn="l"/>
          <a:r>
            <a:rPr lang="en-US" sz="1600" b="1">
              <a:solidFill>
                <a:schemeClr val="tx1"/>
              </a:solidFill>
              <a:latin typeface="+mn-lt"/>
              <a:ea typeface="+mn-lt"/>
              <a:cs typeface="+mn-lt"/>
            </a:rPr>
            <a:t>              157</a:t>
          </a:r>
        </a:p>
      </xdr:txBody>
    </xdr:sp>
    <xdr:clientData/>
  </xdr:twoCellAnchor>
  <xdr:twoCellAnchor>
    <xdr:from>
      <xdr:col>19</xdr:col>
      <xdr:colOff>198120</xdr:colOff>
      <xdr:row>0</xdr:row>
      <xdr:rowOff>0</xdr:rowOff>
    </xdr:from>
    <xdr:to>
      <xdr:col>22</xdr:col>
      <xdr:colOff>594360</xdr:colOff>
      <xdr:row>4</xdr:row>
      <xdr:rowOff>15240</xdr:rowOff>
    </xdr:to>
    <xdr:sp macro="" textlink="">
      <xdr:nvSpPr>
        <xdr:cNvPr id="6" name="Rectangle 5">
          <a:extLst>
            <a:ext uri="{FF2B5EF4-FFF2-40B4-BE49-F238E27FC236}">
              <a16:creationId xmlns:a16="http://schemas.microsoft.com/office/drawing/2014/main" id="{F1F0059F-A563-43B6-93B0-9CDC7369C386}"/>
            </a:ext>
            <a:ext uri="{147F2762-F138-4A5C-976F-8EAC2B608ADB}">
              <a16:predDERef xmlns:a16="http://schemas.microsoft.com/office/drawing/2014/main" pred="{D14D136A-4AFE-461A-A2BB-D3069CDA475C}"/>
            </a:ext>
          </a:extLst>
        </xdr:cNvPr>
        <xdr:cNvSpPr/>
      </xdr:nvSpPr>
      <xdr:spPr>
        <a:xfrm>
          <a:off x="11780520" y="0"/>
          <a:ext cx="2225040" cy="990600"/>
        </a:xfrm>
        <a:prstGeom prst="rect">
          <a:avLst/>
        </a:prstGeom>
        <a:solidFill>
          <a:schemeClr val="accent6">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1400" b="1">
              <a:solidFill>
                <a:schemeClr val="tx1"/>
              </a:solidFill>
              <a:latin typeface="+mn-lt"/>
              <a:ea typeface="+mn-lt"/>
              <a:cs typeface="+mn-lt"/>
            </a:rPr>
            <a:t>            </a:t>
          </a:r>
          <a:r>
            <a:rPr lang="en-US" sz="1600" b="1">
              <a:solidFill>
                <a:schemeClr val="tx1"/>
              </a:solidFill>
              <a:latin typeface="+mn-lt"/>
              <a:ea typeface="+mn-lt"/>
              <a:cs typeface="+mn-lt"/>
            </a:rPr>
            <a:t>Total Leave </a:t>
          </a:r>
        </a:p>
        <a:p>
          <a:pPr marL="0" indent="0" algn="l"/>
          <a:r>
            <a:rPr lang="en-US" sz="1600" b="1">
              <a:solidFill>
                <a:schemeClr val="tx1"/>
              </a:solidFill>
              <a:latin typeface="+mn-lt"/>
              <a:ea typeface="+mn-lt"/>
              <a:cs typeface="+mn-lt"/>
            </a:rPr>
            <a:t>                Days </a:t>
          </a:r>
        </a:p>
        <a:p>
          <a:pPr marL="0" indent="0" algn="l"/>
          <a:r>
            <a:rPr lang="en-US" sz="1600" b="1">
              <a:solidFill>
                <a:schemeClr val="tx1"/>
              </a:solidFill>
              <a:latin typeface="+mn-lt"/>
              <a:ea typeface="+mn-lt"/>
              <a:cs typeface="+mn-lt"/>
            </a:rPr>
            <a:t>                 116</a:t>
          </a:r>
        </a:p>
      </xdr:txBody>
    </xdr:sp>
    <xdr:clientData/>
  </xdr:twoCellAnchor>
  <xdr:twoCellAnchor>
    <xdr:from>
      <xdr:col>0</xdr:col>
      <xdr:colOff>9524</xdr:colOff>
      <xdr:row>4</xdr:row>
      <xdr:rowOff>45720</xdr:rowOff>
    </xdr:from>
    <xdr:to>
      <xdr:col>7</xdr:col>
      <xdr:colOff>556259</xdr:colOff>
      <xdr:row>18</xdr:row>
      <xdr:rowOff>123825</xdr:rowOff>
    </xdr:to>
    <xdr:graphicFrame macro="">
      <xdr:nvGraphicFramePr>
        <xdr:cNvPr id="7" name="Chart 6">
          <a:extLst>
            <a:ext uri="{FF2B5EF4-FFF2-40B4-BE49-F238E27FC236}">
              <a16:creationId xmlns:a16="http://schemas.microsoft.com/office/drawing/2014/main" id="{BA5BF8F8-9994-403E-BD81-F1ED806602BA}"/>
            </a:ext>
            <a:ext uri="{147F2762-F138-4A5C-976F-8EAC2B608ADB}">
              <a16:predDERef xmlns:a16="http://schemas.microsoft.com/office/drawing/2014/main" pred="{F1F0059F-A563-43B6-93B0-9CDC7369C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586740</xdr:colOff>
      <xdr:row>4</xdr:row>
      <xdr:rowOff>15240</xdr:rowOff>
    </xdr:from>
    <xdr:to>
      <xdr:col>11</xdr:col>
      <xdr:colOff>403860</xdr:colOff>
      <xdr:row>18</xdr:row>
      <xdr:rowOff>129540</xdr:rowOff>
    </xdr:to>
    <mc:AlternateContent xmlns:mc="http://schemas.openxmlformats.org/markup-compatibility/2006" xmlns:a14="http://schemas.microsoft.com/office/drawing/2010/main">
      <mc:Choice Requires="a14">
        <xdr:graphicFrame macro="">
          <xdr:nvGraphicFramePr>
            <xdr:cNvPr id="8" name="Department 1">
              <a:extLst>
                <a:ext uri="{FF2B5EF4-FFF2-40B4-BE49-F238E27FC236}">
                  <a16:creationId xmlns:a16="http://schemas.microsoft.com/office/drawing/2014/main" id="{8066C2B0-FF09-46E8-84CB-B482242385AA}"/>
                </a:ext>
                <a:ext uri="{147F2762-F138-4A5C-976F-8EAC2B608ADB}">
                  <a16:predDERef xmlns:a16="http://schemas.microsoft.com/office/drawing/2014/main" pred="{BA5BF8F8-9994-403E-BD81-F1ED806602BA}"/>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4853940" y="990600"/>
              <a:ext cx="2255520" cy="2674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457200</xdr:colOff>
      <xdr:row>4</xdr:row>
      <xdr:rowOff>24765</xdr:rowOff>
    </xdr:from>
    <xdr:to>
      <xdr:col>22</xdr:col>
      <xdr:colOff>548640</xdr:colOff>
      <xdr:row>19</xdr:row>
      <xdr:rowOff>24765</xdr:rowOff>
    </xdr:to>
    <xdr:graphicFrame macro="">
      <xdr:nvGraphicFramePr>
        <xdr:cNvPr id="9" name="Chart 8">
          <a:extLst>
            <a:ext uri="{FF2B5EF4-FFF2-40B4-BE49-F238E27FC236}">
              <a16:creationId xmlns:a16="http://schemas.microsoft.com/office/drawing/2014/main" id="{344B2E62-42C5-494B-8530-E88098D7FBE9}"/>
            </a:ext>
            <a:ext uri="{147F2762-F138-4A5C-976F-8EAC2B608ADB}">
              <a16:predDERef xmlns:a16="http://schemas.microsoft.com/office/drawing/2014/main" pred="{8066C2B0-FF09-46E8-84CB-B48224238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18</xdr:row>
      <xdr:rowOff>118110</xdr:rowOff>
    </xdr:from>
    <xdr:to>
      <xdr:col>7</xdr:col>
      <xdr:colOff>544830</xdr:colOff>
      <xdr:row>34</xdr:row>
      <xdr:rowOff>156210</xdr:rowOff>
    </xdr:to>
    <xdr:graphicFrame macro="">
      <xdr:nvGraphicFramePr>
        <xdr:cNvPr id="27" name="Chart 9">
          <a:extLst>
            <a:ext uri="{FF2B5EF4-FFF2-40B4-BE49-F238E27FC236}">
              <a16:creationId xmlns:a16="http://schemas.microsoft.com/office/drawing/2014/main" id="{FE6D4EE1-C74B-0988-C5D2-8F839EBD8AF4}"/>
            </a:ext>
            <a:ext uri="{147F2762-F138-4A5C-976F-8EAC2B608ADB}">
              <a16:predDERef xmlns:a16="http://schemas.microsoft.com/office/drawing/2014/main" pred="{344B2E62-42C5-494B-8530-E88098D7FB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375284</xdr:colOff>
      <xdr:row>18</xdr:row>
      <xdr:rowOff>180975</xdr:rowOff>
    </xdr:from>
    <xdr:to>
      <xdr:col>22</xdr:col>
      <xdr:colOff>502919</xdr:colOff>
      <xdr:row>34</xdr:row>
      <xdr:rowOff>7620</xdr:rowOff>
    </xdr:to>
    <xdr:graphicFrame macro="">
      <xdr:nvGraphicFramePr>
        <xdr:cNvPr id="28" name="Chart 10">
          <a:extLst>
            <a:ext uri="{FF2B5EF4-FFF2-40B4-BE49-F238E27FC236}">
              <a16:creationId xmlns:a16="http://schemas.microsoft.com/office/drawing/2014/main" id="{AABFA302-C9B4-24EC-F305-277B18ADE248}"/>
            </a:ext>
            <a:ext uri="{147F2762-F138-4A5C-976F-8EAC2B608ADB}">
              <a16:predDERef xmlns:a16="http://schemas.microsoft.com/office/drawing/2014/main" pred="{FE6D4EE1-C74B-0988-C5D2-8F839EBD8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99060</xdr:colOff>
      <xdr:row>35</xdr:row>
      <xdr:rowOff>45720</xdr:rowOff>
    </xdr:from>
    <xdr:to>
      <xdr:col>10</xdr:col>
      <xdr:colOff>99060</xdr:colOff>
      <xdr:row>56</xdr:row>
      <xdr:rowOff>137160</xdr:rowOff>
    </xdr:to>
    <xdr:graphicFrame macro="">
      <xdr:nvGraphicFramePr>
        <xdr:cNvPr id="29" name="Chart 11">
          <a:extLst>
            <a:ext uri="{FF2B5EF4-FFF2-40B4-BE49-F238E27FC236}">
              <a16:creationId xmlns:a16="http://schemas.microsoft.com/office/drawing/2014/main" id="{39F5B2D1-A4CF-C215-46F3-6493FC9166BF}"/>
            </a:ext>
            <a:ext uri="{147F2762-F138-4A5C-976F-8EAC2B608ADB}">
              <a16:predDERef xmlns:a16="http://schemas.microsoft.com/office/drawing/2014/main" pred="{AABFA302-C9B4-24EC-F305-277B18ADE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510540</xdr:colOff>
      <xdr:row>3</xdr:row>
      <xdr:rowOff>266700</xdr:rowOff>
    </xdr:from>
    <xdr:to>
      <xdr:col>15</xdr:col>
      <xdr:colOff>373380</xdr:colOff>
      <xdr:row>18</xdr:row>
      <xdr:rowOff>106680</xdr:rowOff>
    </xdr:to>
    <mc:AlternateContent xmlns:mc="http://schemas.openxmlformats.org/markup-compatibility/2006" xmlns:a14="http://schemas.microsoft.com/office/drawing/2010/main">
      <mc:Choice Requires="a14">
        <xdr:graphicFrame macro="">
          <xdr:nvGraphicFramePr>
            <xdr:cNvPr id="31" name="Month 1">
              <a:extLst>
                <a:ext uri="{FF2B5EF4-FFF2-40B4-BE49-F238E27FC236}">
                  <a16:creationId xmlns:a16="http://schemas.microsoft.com/office/drawing/2014/main" id="{2E0CA1F2-BC7C-41D1-A259-4E994D79BE41}"/>
                </a:ext>
                <a:ext uri="{147F2762-F138-4A5C-976F-8EAC2B608ADB}">
                  <a16:predDERef xmlns:a16="http://schemas.microsoft.com/office/drawing/2014/main" pred="{979E717F-FB82-8948-40E9-2D4893AA8FA6}"/>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216140" y="944880"/>
              <a:ext cx="230124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594360</xdr:colOff>
      <xdr:row>19</xdr:row>
      <xdr:rowOff>152400</xdr:rowOff>
    </xdr:from>
    <xdr:to>
      <xdr:col>11</xdr:col>
      <xdr:colOff>403859</xdr:colOff>
      <xdr:row>33</xdr:row>
      <xdr:rowOff>144780</xdr:rowOff>
    </xdr:to>
    <mc:AlternateContent xmlns:mc="http://schemas.openxmlformats.org/markup-compatibility/2006" xmlns:a14="http://schemas.microsoft.com/office/drawing/2010/main">
      <mc:Choice Requires="a14">
        <xdr:graphicFrame macro="">
          <xdr:nvGraphicFramePr>
            <xdr:cNvPr id="32" name="Department 4">
              <a:extLst>
                <a:ext uri="{FF2B5EF4-FFF2-40B4-BE49-F238E27FC236}">
                  <a16:creationId xmlns:a16="http://schemas.microsoft.com/office/drawing/2014/main" id="{CB634A7A-EDD6-4F2A-96BC-270031324F55}"/>
                </a:ext>
                <a:ext uri="{147F2762-F138-4A5C-976F-8EAC2B608ADB}">
                  <a16:predDERef xmlns:a16="http://schemas.microsoft.com/office/drawing/2014/main" pred="{18FBDE40-9C59-FF65-FCC6-2869536B93CB}"/>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4861560" y="3870960"/>
              <a:ext cx="2247899" cy="2552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541020</xdr:colOff>
      <xdr:row>19</xdr:row>
      <xdr:rowOff>114300</xdr:rowOff>
    </xdr:from>
    <xdr:to>
      <xdr:col>15</xdr:col>
      <xdr:colOff>312420</xdr:colOff>
      <xdr:row>33</xdr:row>
      <xdr:rowOff>91440</xdr:rowOff>
    </xdr:to>
    <mc:AlternateContent xmlns:mc="http://schemas.openxmlformats.org/markup-compatibility/2006" xmlns:a14="http://schemas.microsoft.com/office/drawing/2010/main">
      <mc:Choice Requires="a14">
        <xdr:graphicFrame macro="">
          <xdr:nvGraphicFramePr>
            <xdr:cNvPr id="34" name="Department 5">
              <a:extLst>
                <a:ext uri="{FF2B5EF4-FFF2-40B4-BE49-F238E27FC236}">
                  <a16:creationId xmlns:a16="http://schemas.microsoft.com/office/drawing/2014/main" id="{3512D3FC-1C9E-4433-A6E9-06328CE1224D}"/>
                </a:ext>
                <a:ext uri="{147F2762-F138-4A5C-976F-8EAC2B608ADB}">
                  <a16:predDERef xmlns:a16="http://schemas.microsoft.com/office/drawing/2014/main" pred="{31C69859-B5CD-1F46-9E48-1CAB30F09588}"/>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7246620" y="3832860"/>
              <a:ext cx="2209800" cy="2537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381000</xdr:colOff>
      <xdr:row>34</xdr:row>
      <xdr:rowOff>30480</xdr:rowOff>
    </xdr:from>
    <xdr:to>
      <xdr:col>15</xdr:col>
      <xdr:colOff>396240</xdr:colOff>
      <xdr:row>55</xdr:row>
      <xdr:rowOff>150495</xdr:rowOff>
    </xdr:to>
    <mc:AlternateContent xmlns:mc="http://schemas.openxmlformats.org/markup-compatibility/2006" xmlns:a14="http://schemas.microsoft.com/office/drawing/2010/main">
      <mc:Choice Requires="a14">
        <xdr:graphicFrame macro="">
          <xdr:nvGraphicFramePr>
            <xdr:cNvPr id="35" name="Employee Name 1">
              <a:extLst>
                <a:ext uri="{FF2B5EF4-FFF2-40B4-BE49-F238E27FC236}">
                  <a16:creationId xmlns:a16="http://schemas.microsoft.com/office/drawing/2014/main" id="{FB72619B-94BB-4BD2-A99E-25E67A1560F2}"/>
                </a:ext>
                <a:ext uri="{147F2762-F138-4A5C-976F-8EAC2B608ADB}">
                  <a16:predDERef xmlns:a16="http://schemas.microsoft.com/office/drawing/2014/main" pred="{FBF2FB56-6049-A4AA-04A8-C15143FAD0B7}"/>
                </a:ext>
              </a:extLst>
            </xdr:cNvPr>
            <xdr:cNvGraphicFramePr/>
          </xdr:nvGraphicFramePr>
          <xdr:xfrm>
            <a:off x="0" y="0"/>
            <a:ext cx="0" cy="0"/>
          </xdr:xfrm>
          <a:graphic>
            <a:graphicData uri="http://schemas.microsoft.com/office/drawing/2010/slicer">
              <sle:slicer xmlns:sle="http://schemas.microsoft.com/office/drawing/2010/slicer" name="Employee Name 1"/>
            </a:graphicData>
          </a:graphic>
        </xdr:graphicFrame>
      </mc:Choice>
      <mc:Fallback xmlns="">
        <xdr:sp macro="" textlink="">
          <xdr:nvSpPr>
            <xdr:cNvPr id="0" name=""/>
            <xdr:cNvSpPr>
              <a:spLocks noTextEdit="1"/>
            </xdr:cNvSpPr>
          </xdr:nvSpPr>
          <xdr:spPr>
            <a:xfrm>
              <a:off x="6477000" y="6492240"/>
              <a:ext cx="3063240" cy="39604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15240</xdr:colOff>
      <xdr:row>34</xdr:row>
      <xdr:rowOff>68580</xdr:rowOff>
    </xdr:from>
    <xdr:to>
      <xdr:col>22</xdr:col>
      <xdr:colOff>91439</xdr:colOff>
      <xdr:row>53</xdr:row>
      <xdr:rowOff>83820</xdr:rowOff>
    </xdr:to>
    <xdr:sp macro="" textlink="">
      <xdr:nvSpPr>
        <xdr:cNvPr id="10" name="TextBox 9">
          <a:extLst>
            <a:ext uri="{FF2B5EF4-FFF2-40B4-BE49-F238E27FC236}">
              <a16:creationId xmlns:a16="http://schemas.microsoft.com/office/drawing/2014/main" id="{F9AA09D2-F7D5-C71D-4744-C78B7B485914}"/>
            </a:ext>
            <a:ext uri="{147F2762-F138-4A5C-976F-8EAC2B608ADB}">
              <a16:predDERef xmlns:a16="http://schemas.microsoft.com/office/drawing/2014/main" pred="{FB72619B-94BB-4BD2-A99E-25E67A1560F2}"/>
            </a:ext>
          </a:extLst>
        </xdr:cNvPr>
        <xdr:cNvSpPr txBox="1"/>
      </xdr:nvSpPr>
      <xdr:spPr>
        <a:xfrm>
          <a:off x="9768840" y="6530340"/>
          <a:ext cx="3733799" cy="3489960"/>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400">
              <a:latin typeface="+mn-lt"/>
              <a:ea typeface="+mn-lt"/>
              <a:cs typeface="+mn-lt"/>
            </a:rPr>
            <a:t>                Insights </a:t>
          </a:r>
        </a:p>
        <a:p>
          <a:pPr marL="0" indent="0" algn="l"/>
          <a:r>
            <a:rPr lang="en-US" sz="1100">
              <a:latin typeface="+mn-lt"/>
              <a:ea typeface="+mn-lt"/>
              <a:cs typeface="+mn-lt"/>
            </a:rPr>
            <a:t>  </a:t>
          </a:r>
          <a:r>
            <a:rPr lang="en-US" sz="1200">
              <a:latin typeface="+mn-lt"/>
              <a:ea typeface="+mn-lt"/>
              <a:cs typeface="+mn-lt"/>
            </a:rPr>
            <a:t>•  Finance, IT, and Operations maintained the    highest attendance (95%), whereas HR and Sales  had lower attendance rates. </a:t>
          </a: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indent="0" algn="l"/>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200" b="0" i="0" u="none" strike="noStrike">
              <a:solidFill>
                <a:srgbClr val="000000"/>
              </a:solidFill>
              <a:latin typeface="+mn-lt"/>
              <a:ea typeface="+mn-lt"/>
              <a:cs typeface="+mn-lt"/>
            </a:rPr>
            <a:t> February month have higher attendance comparatively other months  which is 96.68% </a:t>
          </a: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200" b="0" i="0" u="none" strike="noStrike">
              <a:solidFill>
                <a:srgbClr val="000000"/>
              </a:solidFill>
              <a:latin typeface="+mn-lt"/>
              <a:ea typeface="+mn-lt"/>
              <a:cs typeface="+mn-lt"/>
            </a:rPr>
            <a:t> HR recorded the highest number of absent days (27), exceeding all other departments.  </a:t>
          </a: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200" b="0" i="0" u="none" strike="noStrike">
              <a:solidFill>
                <a:srgbClr val="000000"/>
              </a:solidFill>
              <a:latin typeface="+mn-lt"/>
              <a:ea typeface="+mn-lt"/>
              <a:cs typeface="+mn-lt"/>
            </a:rPr>
            <a:t> Finance recorded the highest number of leave days (30) among all departments. </a:t>
          </a:r>
        </a:p>
        <a:p>
          <a:pPr marL="0" marR="0" indent="0" algn="l">
            <a:lnSpc>
              <a:spcPct val="100000"/>
            </a:lnSpc>
            <a:spcBef>
              <a:spcPts val="0"/>
            </a:spcBef>
            <a:spcAft>
              <a:spcPts val="0"/>
            </a:spcAft>
          </a:pPr>
          <a:endPar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endParaRPr>
        </a:p>
        <a:p>
          <a:pPr marL="0" marR="0" indent="0" algn="l">
            <a:lnSpc>
              <a:spcPct val="100000"/>
            </a:lnSpc>
            <a:spcBef>
              <a:spcPts val="0"/>
            </a:spcBef>
            <a:spcAft>
              <a:spcPts val="0"/>
            </a:spcAft>
          </a:pPr>
          <a:r>
            <a:rPr lang="en-US" sz="12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a:t>
          </a:r>
          <a:r>
            <a:rPr lang="en-US" sz="1200" b="0" i="0" u="none" strike="noStrike">
              <a:solidFill>
                <a:srgbClr val="000000"/>
              </a:solidFill>
              <a:latin typeface="+mn-lt"/>
              <a:ea typeface="+mn-lt"/>
              <a:cs typeface="+mn-lt"/>
            </a:rPr>
            <a:t> Shreya Roy and Nisha Joshi have highest attendance rate around 98  ,Lowest is Anjali mehta which is 89.99%</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7.875120370372" createdVersion="8" refreshedVersion="8" minRefreshableVersion="3" recordCount="120" xr:uid="{F98F3A88-50DB-4687-93E9-89291A7A304D}">
  <cacheSource type="worksheet">
    <worksheetSource ref="A1:I121" sheet="Raw Data "/>
  </cacheSource>
  <cacheFields count="9">
    <cacheField name="Employee ID" numFmtId="0">
      <sharedItems/>
    </cacheField>
    <cacheField name="Employee Name" numFmtId="0">
      <sharedItems count="20">
        <s v="Amit Sharma"/>
        <s v="Priya Singh"/>
        <s v="Rahul Verma"/>
        <s v="Neha Gupta"/>
        <s v="Rohit Patel"/>
        <s v="Anjali Mehta"/>
        <s v="Karan Shah"/>
        <s v="Sneha Jain"/>
        <s v="Vikas Kumar"/>
        <s v="Pooja Patil"/>
        <s v="Arjun Nair"/>
        <s v="Nisha Joshi"/>
        <s v="Riya Das"/>
        <s v="Saurabh Kulkarni"/>
        <s v="Meena Rao"/>
        <s v="Aditya Mishra"/>
        <s v="Komal Yadav"/>
        <s v="Deepak Pawar"/>
        <s v="Shreya Roy"/>
        <s v="Manoj Gupta"/>
      </sharedItems>
    </cacheField>
    <cacheField name="Department" numFmtId="0">
      <sharedItems count="5">
        <s v="Finance"/>
        <s v="HR"/>
        <s v="IT"/>
        <s v="Sales"/>
        <s v="Operations"/>
      </sharedItems>
    </cacheField>
    <cacheField name="Month" numFmtId="0">
      <sharedItems count="6">
        <s v="Jan"/>
        <s v="Feb"/>
        <s v="Mar"/>
        <s v="Apr"/>
        <s v="May"/>
        <s v="Jun"/>
      </sharedItems>
    </cacheField>
    <cacheField name="Working Days" numFmtId="0">
      <sharedItems containsSemiMixedTypes="0" containsString="0" containsNumber="1" containsInteger="1" minValue="26" maxValue="26"/>
    </cacheField>
    <cacheField name="Present" numFmtId="0">
      <sharedItems containsSemiMixedTypes="0" containsString="0" containsNumber="1" containsInteger="1" minValue="21" maxValue="26"/>
    </cacheField>
    <cacheField name="Absent" numFmtId="0">
      <sharedItems containsSemiMixedTypes="0" containsString="0" containsNumber="1" containsInteger="1" minValue="0" maxValue="3"/>
    </cacheField>
    <cacheField name="Leave" numFmtId="0">
      <sharedItems containsSemiMixedTypes="0" containsString="0" containsNumber="1" containsInteger="1" minValue="0" maxValue="2"/>
    </cacheField>
    <cacheField name="Attendance %" numFmtId="10">
      <sharedItems containsSemiMixedTypes="0" containsString="0" containsNumber="1" minValue="0.875" maxValue="1" count="10">
        <n v="0.96"/>
        <n v="0.875"/>
        <n v="1"/>
        <n v="0.92307692307692313"/>
        <n v="0.88461538461538458"/>
        <n v="0.92"/>
        <n v="0.88"/>
        <n v="0.96153846153846156"/>
        <n v="0.91666666666666663"/>
        <n v="0.95833333333333337"/>
      </sharedItems>
    </cacheField>
  </cacheFields>
  <extLst>
    <ext xmlns:x14="http://schemas.microsoft.com/office/spreadsheetml/2009/9/main" uri="{725AE2AE-9491-48be-B2B4-4EB974FC3084}">
      <x14:pivotCacheDefinition pivotCacheId="15499755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E101"/>
    <x v="0"/>
    <x v="0"/>
    <x v="0"/>
    <n v="26"/>
    <n v="24"/>
    <n v="1"/>
    <n v="1"/>
    <x v="0"/>
  </r>
  <r>
    <s v="E102"/>
    <x v="1"/>
    <x v="1"/>
    <x v="0"/>
    <n v="26"/>
    <n v="24"/>
    <n v="1"/>
    <n v="1"/>
    <x v="0"/>
  </r>
  <r>
    <s v="E103"/>
    <x v="2"/>
    <x v="1"/>
    <x v="0"/>
    <n v="26"/>
    <n v="21"/>
    <n v="3"/>
    <n v="2"/>
    <x v="1"/>
  </r>
  <r>
    <s v="E104"/>
    <x v="3"/>
    <x v="2"/>
    <x v="0"/>
    <n v="26"/>
    <n v="26"/>
    <n v="0"/>
    <n v="0"/>
    <x v="2"/>
  </r>
  <r>
    <s v="E105"/>
    <x v="4"/>
    <x v="3"/>
    <x v="0"/>
    <n v="26"/>
    <n v="24"/>
    <n v="2"/>
    <n v="0"/>
    <x v="3"/>
  </r>
  <r>
    <s v="E106"/>
    <x v="5"/>
    <x v="1"/>
    <x v="0"/>
    <n v="26"/>
    <n v="23"/>
    <n v="3"/>
    <n v="0"/>
    <x v="4"/>
  </r>
  <r>
    <s v="E107"/>
    <x v="6"/>
    <x v="2"/>
    <x v="0"/>
    <n v="26"/>
    <n v="26"/>
    <n v="0"/>
    <n v="0"/>
    <x v="2"/>
  </r>
  <r>
    <s v="E108"/>
    <x v="7"/>
    <x v="0"/>
    <x v="0"/>
    <n v="26"/>
    <n v="26"/>
    <n v="0"/>
    <n v="0"/>
    <x v="2"/>
  </r>
  <r>
    <s v="E109"/>
    <x v="8"/>
    <x v="4"/>
    <x v="0"/>
    <n v="26"/>
    <n v="21"/>
    <n v="3"/>
    <n v="2"/>
    <x v="1"/>
  </r>
  <r>
    <s v="E110"/>
    <x v="9"/>
    <x v="1"/>
    <x v="0"/>
    <n v="26"/>
    <n v="23"/>
    <n v="2"/>
    <n v="1"/>
    <x v="5"/>
  </r>
  <r>
    <s v="E111"/>
    <x v="10"/>
    <x v="0"/>
    <x v="0"/>
    <n v="26"/>
    <n v="22"/>
    <n v="3"/>
    <n v="1"/>
    <x v="6"/>
  </r>
  <r>
    <s v="E112"/>
    <x v="11"/>
    <x v="0"/>
    <x v="0"/>
    <n v="26"/>
    <n v="24"/>
    <n v="0"/>
    <n v="2"/>
    <x v="2"/>
  </r>
  <r>
    <s v="E113"/>
    <x v="12"/>
    <x v="3"/>
    <x v="0"/>
    <n v="26"/>
    <n v="23"/>
    <n v="3"/>
    <n v="0"/>
    <x v="4"/>
  </r>
  <r>
    <s v="E114"/>
    <x v="13"/>
    <x v="0"/>
    <x v="0"/>
    <n v="26"/>
    <n v="26"/>
    <n v="0"/>
    <n v="0"/>
    <x v="2"/>
  </r>
  <r>
    <s v="E115"/>
    <x v="14"/>
    <x v="0"/>
    <x v="0"/>
    <n v="26"/>
    <n v="26"/>
    <n v="0"/>
    <n v="0"/>
    <x v="2"/>
  </r>
  <r>
    <s v="E116"/>
    <x v="15"/>
    <x v="1"/>
    <x v="0"/>
    <n v="26"/>
    <n v="22"/>
    <n v="3"/>
    <n v="1"/>
    <x v="6"/>
  </r>
  <r>
    <s v="E117"/>
    <x v="16"/>
    <x v="2"/>
    <x v="0"/>
    <n v="26"/>
    <n v="24"/>
    <n v="0"/>
    <n v="2"/>
    <x v="2"/>
  </r>
  <r>
    <s v="E118"/>
    <x v="17"/>
    <x v="2"/>
    <x v="0"/>
    <n v="26"/>
    <n v="24"/>
    <n v="0"/>
    <n v="2"/>
    <x v="2"/>
  </r>
  <r>
    <s v="E119"/>
    <x v="18"/>
    <x v="3"/>
    <x v="0"/>
    <n v="26"/>
    <n v="25"/>
    <n v="0"/>
    <n v="1"/>
    <x v="2"/>
  </r>
  <r>
    <s v="E120"/>
    <x v="19"/>
    <x v="4"/>
    <x v="0"/>
    <n v="26"/>
    <n v="22"/>
    <n v="3"/>
    <n v="1"/>
    <x v="6"/>
  </r>
  <r>
    <s v="E101"/>
    <x v="0"/>
    <x v="3"/>
    <x v="1"/>
    <n v="26"/>
    <n v="25"/>
    <n v="1"/>
    <n v="0"/>
    <x v="7"/>
  </r>
  <r>
    <s v="E102"/>
    <x v="1"/>
    <x v="4"/>
    <x v="1"/>
    <n v="26"/>
    <n v="26"/>
    <n v="0"/>
    <n v="0"/>
    <x v="2"/>
  </r>
  <r>
    <s v="E103"/>
    <x v="2"/>
    <x v="0"/>
    <x v="1"/>
    <n v="26"/>
    <n v="24"/>
    <n v="0"/>
    <n v="2"/>
    <x v="2"/>
  </r>
  <r>
    <s v="E104"/>
    <x v="3"/>
    <x v="1"/>
    <x v="1"/>
    <n v="26"/>
    <n v="22"/>
    <n v="2"/>
    <n v="2"/>
    <x v="8"/>
  </r>
  <r>
    <s v="E105"/>
    <x v="4"/>
    <x v="3"/>
    <x v="1"/>
    <n v="26"/>
    <n v="26"/>
    <n v="0"/>
    <n v="0"/>
    <x v="2"/>
  </r>
  <r>
    <s v="E106"/>
    <x v="5"/>
    <x v="2"/>
    <x v="1"/>
    <n v="26"/>
    <n v="25"/>
    <n v="1"/>
    <n v="0"/>
    <x v="7"/>
  </r>
  <r>
    <s v="E107"/>
    <x v="6"/>
    <x v="3"/>
    <x v="1"/>
    <n v="26"/>
    <n v="24"/>
    <n v="0"/>
    <n v="2"/>
    <x v="2"/>
  </r>
  <r>
    <s v="E108"/>
    <x v="7"/>
    <x v="2"/>
    <x v="1"/>
    <n v="26"/>
    <n v="24"/>
    <n v="0"/>
    <n v="2"/>
    <x v="2"/>
  </r>
  <r>
    <s v="E109"/>
    <x v="8"/>
    <x v="4"/>
    <x v="1"/>
    <n v="26"/>
    <n v="26"/>
    <n v="0"/>
    <n v="0"/>
    <x v="2"/>
  </r>
  <r>
    <s v="E110"/>
    <x v="9"/>
    <x v="1"/>
    <x v="1"/>
    <n v="26"/>
    <n v="26"/>
    <n v="0"/>
    <n v="0"/>
    <x v="2"/>
  </r>
  <r>
    <s v="E111"/>
    <x v="10"/>
    <x v="0"/>
    <x v="1"/>
    <n v="26"/>
    <n v="23"/>
    <n v="3"/>
    <n v="0"/>
    <x v="4"/>
  </r>
  <r>
    <s v="E112"/>
    <x v="11"/>
    <x v="2"/>
    <x v="1"/>
    <n v="26"/>
    <n v="25"/>
    <n v="1"/>
    <n v="0"/>
    <x v="7"/>
  </r>
  <r>
    <s v="E113"/>
    <x v="12"/>
    <x v="2"/>
    <x v="1"/>
    <n v="26"/>
    <n v="23"/>
    <n v="3"/>
    <n v="0"/>
    <x v="4"/>
  </r>
  <r>
    <s v="E114"/>
    <x v="13"/>
    <x v="4"/>
    <x v="1"/>
    <n v="26"/>
    <n v="23"/>
    <n v="1"/>
    <n v="2"/>
    <x v="9"/>
  </r>
  <r>
    <s v="E115"/>
    <x v="14"/>
    <x v="2"/>
    <x v="1"/>
    <n v="26"/>
    <n v="24"/>
    <n v="0"/>
    <n v="2"/>
    <x v="2"/>
  </r>
  <r>
    <s v="E116"/>
    <x v="15"/>
    <x v="0"/>
    <x v="1"/>
    <n v="26"/>
    <n v="26"/>
    <n v="0"/>
    <n v="0"/>
    <x v="2"/>
  </r>
  <r>
    <s v="E117"/>
    <x v="16"/>
    <x v="3"/>
    <x v="1"/>
    <n v="26"/>
    <n v="24"/>
    <n v="1"/>
    <n v="1"/>
    <x v="0"/>
  </r>
  <r>
    <s v="E118"/>
    <x v="17"/>
    <x v="2"/>
    <x v="1"/>
    <n v="26"/>
    <n v="23"/>
    <n v="3"/>
    <n v="0"/>
    <x v="4"/>
  </r>
  <r>
    <s v="E119"/>
    <x v="18"/>
    <x v="0"/>
    <x v="1"/>
    <n v="26"/>
    <n v="25"/>
    <n v="1"/>
    <n v="0"/>
    <x v="7"/>
  </r>
  <r>
    <s v="E120"/>
    <x v="19"/>
    <x v="1"/>
    <x v="1"/>
    <n v="26"/>
    <n v="25"/>
    <n v="0"/>
    <n v="1"/>
    <x v="2"/>
  </r>
  <r>
    <s v="E101"/>
    <x v="0"/>
    <x v="1"/>
    <x v="2"/>
    <n v="26"/>
    <n v="22"/>
    <n v="3"/>
    <n v="1"/>
    <x v="6"/>
  </r>
  <r>
    <s v="E102"/>
    <x v="1"/>
    <x v="0"/>
    <x v="2"/>
    <n v="26"/>
    <n v="24"/>
    <n v="2"/>
    <n v="0"/>
    <x v="3"/>
  </r>
  <r>
    <s v="E103"/>
    <x v="2"/>
    <x v="4"/>
    <x v="2"/>
    <n v="26"/>
    <n v="22"/>
    <n v="2"/>
    <n v="2"/>
    <x v="8"/>
  </r>
  <r>
    <s v="E104"/>
    <x v="3"/>
    <x v="3"/>
    <x v="2"/>
    <n v="26"/>
    <n v="26"/>
    <n v="0"/>
    <n v="0"/>
    <x v="2"/>
  </r>
  <r>
    <s v="E105"/>
    <x v="4"/>
    <x v="4"/>
    <x v="2"/>
    <n v="26"/>
    <n v="26"/>
    <n v="0"/>
    <n v="0"/>
    <x v="2"/>
  </r>
  <r>
    <s v="E106"/>
    <x v="5"/>
    <x v="1"/>
    <x v="2"/>
    <n v="26"/>
    <n v="24"/>
    <n v="2"/>
    <n v="0"/>
    <x v="3"/>
  </r>
  <r>
    <s v="E107"/>
    <x v="6"/>
    <x v="0"/>
    <x v="2"/>
    <n v="26"/>
    <n v="24"/>
    <n v="0"/>
    <n v="2"/>
    <x v="2"/>
  </r>
  <r>
    <s v="E108"/>
    <x v="7"/>
    <x v="3"/>
    <x v="2"/>
    <n v="26"/>
    <n v="23"/>
    <n v="2"/>
    <n v="1"/>
    <x v="5"/>
  </r>
  <r>
    <s v="E109"/>
    <x v="8"/>
    <x v="0"/>
    <x v="2"/>
    <n v="26"/>
    <n v="25"/>
    <n v="0"/>
    <n v="1"/>
    <x v="2"/>
  </r>
  <r>
    <s v="E110"/>
    <x v="9"/>
    <x v="1"/>
    <x v="2"/>
    <n v="26"/>
    <n v="24"/>
    <n v="1"/>
    <n v="1"/>
    <x v="0"/>
  </r>
  <r>
    <s v="E111"/>
    <x v="10"/>
    <x v="4"/>
    <x v="2"/>
    <n v="26"/>
    <n v="24"/>
    <n v="0"/>
    <n v="2"/>
    <x v="2"/>
  </r>
  <r>
    <s v="E112"/>
    <x v="11"/>
    <x v="4"/>
    <x v="2"/>
    <n v="26"/>
    <n v="26"/>
    <n v="0"/>
    <n v="0"/>
    <x v="2"/>
  </r>
  <r>
    <s v="E113"/>
    <x v="12"/>
    <x v="2"/>
    <x v="2"/>
    <n v="26"/>
    <n v="21"/>
    <n v="3"/>
    <n v="2"/>
    <x v="1"/>
  </r>
  <r>
    <s v="E114"/>
    <x v="13"/>
    <x v="2"/>
    <x v="2"/>
    <n v="26"/>
    <n v="25"/>
    <n v="0"/>
    <n v="1"/>
    <x v="2"/>
  </r>
  <r>
    <s v="E115"/>
    <x v="14"/>
    <x v="1"/>
    <x v="2"/>
    <n v="26"/>
    <n v="23"/>
    <n v="2"/>
    <n v="1"/>
    <x v="5"/>
  </r>
  <r>
    <s v="E116"/>
    <x v="15"/>
    <x v="1"/>
    <x v="2"/>
    <n v="26"/>
    <n v="21"/>
    <n v="3"/>
    <n v="2"/>
    <x v="1"/>
  </r>
  <r>
    <s v="E117"/>
    <x v="16"/>
    <x v="0"/>
    <x v="2"/>
    <n v="26"/>
    <n v="24"/>
    <n v="0"/>
    <n v="2"/>
    <x v="2"/>
  </r>
  <r>
    <s v="E118"/>
    <x v="17"/>
    <x v="0"/>
    <x v="2"/>
    <n v="26"/>
    <n v="25"/>
    <n v="0"/>
    <n v="1"/>
    <x v="2"/>
  </r>
  <r>
    <s v="E119"/>
    <x v="18"/>
    <x v="4"/>
    <x v="2"/>
    <n v="26"/>
    <n v="26"/>
    <n v="0"/>
    <n v="0"/>
    <x v="2"/>
  </r>
  <r>
    <s v="E120"/>
    <x v="19"/>
    <x v="2"/>
    <x v="2"/>
    <n v="26"/>
    <n v="22"/>
    <n v="2"/>
    <n v="2"/>
    <x v="8"/>
  </r>
  <r>
    <s v="E101"/>
    <x v="0"/>
    <x v="1"/>
    <x v="3"/>
    <n v="26"/>
    <n v="24"/>
    <n v="1"/>
    <n v="1"/>
    <x v="0"/>
  </r>
  <r>
    <s v="E102"/>
    <x v="1"/>
    <x v="3"/>
    <x v="3"/>
    <n v="26"/>
    <n v="23"/>
    <n v="3"/>
    <n v="0"/>
    <x v="4"/>
  </r>
  <r>
    <s v="E103"/>
    <x v="2"/>
    <x v="2"/>
    <x v="3"/>
    <n v="26"/>
    <n v="24"/>
    <n v="0"/>
    <n v="2"/>
    <x v="2"/>
  </r>
  <r>
    <s v="E104"/>
    <x v="3"/>
    <x v="0"/>
    <x v="3"/>
    <n v="26"/>
    <n v="21"/>
    <n v="3"/>
    <n v="2"/>
    <x v="1"/>
  </r>
  <r>
    <s v="E105"/>
    <x v="4"/>
    <x v="2"/>
    <x v="3"/>
    <n v="26"/>
    <n v="22"/>
    <n v="2"/>
    <n v="2"/>
    <x v="8"/>
  </r>
  <r>
    <s v="E106"/>
    <x v="5"/>
    <x v="3"/>
    <x v="3"/>
    <n v="26"/>
    <n v="21"/>
    <n v="3"/>
    <n v="2"/>
    <x v="1"/>
  </r>
  <r>
    <s v="E107"/>
    <x v="6"/>
    <x v="0"/>
    <x v="3"/>
    <n v="26"/>
    <n v="22"/>
    <n v="2"/>
    <n v="2"/>
    <x v="8"/>
  </r>
  <r>
    <s v="E108"/>
    <x v="7"/>
    <x v="2"/>
    <x v="3"/>
    <n v="26"/>
    <n v="24"/>
    <n v="2"/>
    <n v="0"/>
    <x v="3"/>
  </r>
  <r>
    <s v="E109"/>
    <x v="8"/>
    <x v="0"/>
    <x v="3"/>
    <n v="26"/>
    <n v="24"/>
    <n v="1"/>
    <n v="1"/>
    <x v="0"/>
  </r>
  <r>
    <s v="E110"/>
    <x v="9"/>
    <x v="4"/>
    <x v="3"/>
    <n v="26"/>
    <n v="25"/>
    <n v="0"/>
    <n v="1"/>
    <x v="2"/>
  </r>
  <r>
    <s v="E111"/>
    <x v="10"/>
    <x v="1"/>
    <x v="3"/>
    <n v="26"/>
    <n v="22"/>
    <n v="2"/>
    <n v="2"/>
    <x v="8"/>
  </r>
  <r>
    <s v="E112"/>
    <x v="11"/>
    <x v="1"/>
    <x v="3"/>
    <n v="26"/>
    <n v="26"/>
    <n v="0"/>
    <n v="0"/>
    <x v="2"/>
  </r>
  <r>
    <s v="E113"/>
    <x v="12"/>
    <x v="0"/>
    <x v="3"/>
    <n v="26"/>
    <n v="23"/>
    <n v="1"/>
    <n v="2"/>
    <x v="9"/>
  </r>
  <r>
    <s v="E114"/>
    <x v="13"/>
    <x v="0"/>
    <x v="3"/>
    <n v="26"/>
    <n v="25"/>
    <n v="1"/>
    <n v="0"/>
    <x v="7"/>
  </r>
  <r>
    <s v="E115"/>
    <x v="14"/>
    <x v="4"/>
    <x v="3"/>
    <n v="26"/>
    <n v="22"/>
    <n v="2"/>
    <n v="2"/>
    <x v="8"/>
  </r>
  <r>
    <s v="E116"/>
    <x v="15"/>
    <x v="4"/>
    <x v="3"/>
    <n v="26"/>
    <n v="23"/>
    <n v="2"/>
    <n v="1"/>
    <x v="5"/>
  </r>
  <r>
    <s v="E117"/>
    <x v="16"/>
    <x v="3"/>
    <x v="3"/>
    <n v="26"/>
    <n v="23"/>
    <n v="3"/>
    <n v="0"/>
    <x v="4"/>
  </r>
  <r>
    <s v="E118"/>
    <x v="17"/>
    <x v="0"/>
    <x v="3"/>
    <n v="26"/>
    <n v="24"/>
    <n v="2"/>
    <n v="0"/>
    <x v="3"/>
  </r>
  <r>
    <s v="E119"/>
    <x v="18"/>
    <x v="2"/>
    <x v="3"/>
    <n v="26"/>
    <n v="26"/>
    <n v="0"/>
    <n v="0"/>
    <x v="2"/>
  </r>
  <r>
    <s v="E120"/>
    <x v="19"/>
    <x v="3"/>
    <x v="3"/>
    <n v="26"/>
    <n v="25"/>
    <n v="1"/>
    <n v="0"/>
    <x v="7"/>
  </r>
  <r>
    <s v="E101"/>
    <x v="0"/>
    <x v="2"/>
    <x v="4"/>
    <n v="26"/>
    <n v="25"/>
    <n v="1"/>
    <n v="0"/>
    <x v="7"/>
  </r>
  <r>
    <s v="E102"/>
    <x v="1"/>
    <x v="1"/>
    <x v="4"/>
    <n v="26"/>
    <n v="23"/>
    <n v="2"/>
    <n v="1"/>
    <x v="5"/>
  </r>
  <r>
    <s v="E103"/>
    <x v="2"/>
    <x v="0"/>
    <x v="4"/>
    <n v="26"/>
    <n v="22"/>
    <n v="2"/>
    <n v="2"/>
    <x v="8"/>
  </r>
  <r>
    <s v="E104"/>
    <x v="3"/>
    <x v="2"/>
    <x v="4"/>
    <n v="26"/>
    <n v="23"/>
    <n v="1"/>
    <n v="2"/>
    <x v="9"/>
  </r>
  <r>
    <s v="E105"/>
    <x v="4"/>
    <x v="1"/>
    <x v="4"/>
    <n v="26"/>
    <n v="23"/>
    <n v="1"/>
    <n v="2"/>
    <x v="9"/>
  </r>
  <r>
    <s v="E106"/>
    <x v="5"/>
    <x v="0"/>
    <x v="4"/>
    <n v="26"/>
    <n v="22"/>
    <n v="3"/>
    <n v="1"/>
    <x v="6"/>
  </r>
  <r>
    <s v="E107"/>
    <x v="6"/>
    <x v="1"/>
    <x v="4"/>
    <n v="26"/>
    <n v="24"/>
    <n v="2"/>
    <n v="0"/>
    <x v="3"/>
  </r>
  <r>
    <s v="E108"/>
    <x v="7"/>
    <x v="2"/>
    <x v="4"/>
    <n v="26"/>
    <n v="22"/>
    <n v="2"/>
    <n v="2"/>
    <x v="8"/>
  </r>
  <r>
    <s v="E109"/>
    <x v="8"/>
    <x v="0"/>
    <x v="4"/>
    <n v="26"/>
    <n v="24"/>
    <n v="2"/>
    <n v="0"/>
    <x v="3"/>
  </r>
  <r>
    <s v="E110"/>
    <x v="9"/>
    <x v="0"/>
    <x v="4"/>
    <n v="26"/>
    <n v="23"/>
    <n v="2"/>
    <n v="1"/>
    <x v="5"/>
  </r>
  <r>
    <s v="E111"/>
    <x v="10"/>
    <x v="0"/>
    <x v="4"/>
    <n v="26"/>
    <n v="24"/>
    <n v="0"/>
    <n v="2"/>
    <x v="2"/>
  </r>
  <r>
    <s v="E112"/>
    <x v="11"/>
    <x v="1"/>
    <x v="4"/>
    <n v="26"/>
    <n v="25"/>
    <n v="0"/>
    <n v="1"/>
    <x v="2"/>
  </r>
  <r>
    <s v="E113"/>
    <x v="12"/>
    <x v="4"/>
    <x v="4"/>
    <n v="26"/>
    <n v="25"/>
    <n v="1"/>
    <n v="0"/>
    <x v="7"/>
  </r>
  <r>
    <s v="E114"/>
    <x v="13"/>
    <x v="1"/>
    <x v="4"/>
    <n v="26"/>
    <n v="24"/>
    <n v="1"/>
    <n v="1"/>
    <x v="0"/>
  </r>
  <r>
    <s v="E115"/>
    <x v="14"/>
    <x v="2"/>
    <x v="4"/>
    <n v="26"/>
    <n v="21"/>
    <n v="3"/>
    <n v="2"/>
    <x v="1"/>
  </r>
  <r>
    <s v="E116"/>
    <x v="15"/>
    <x v="3"/>
    <x v="4"/>
    <n v="26"/>
    <n v="22"/>
    <n v="2"/>
    <n v="2"/>
    <x v="8"/>
  </r>
  <r>
    <s v="E117"/>
    <x v="16"/>
    <x v="4"/>
    <x v="4"/>
    <n v="26"/>
    <n v="22"/>
    <n v="2"/>
    <n v="2"/>
    <x v="8"/>
  </r>
  <r>
    <s v="E118"/>
    <x v="17"/>
    <x v="3"/>
    <x v="4"/>
    <n v="26"/>
    <n v="21"/>
    <n v="3"/>
    <n v="2"/>
    <x v="1"/>
  </r>
  <r>
    <s v="E119"/>
    <x v="18"/>
    <x v="4"/>
    <x v="4"/>
    <n v="26"/>
    <n v="26"/>
    <n v="0"/>
    <n v="0"/>
    <x v="2"/>
  </r>
  <r>
    <s v="E120"/>
    <x v="19"/>
    <x v="0"/>
    <x v="4"/>
    <n v="26"/>
    <n v="24"/>
    <n v="1"/>
    <n v="1"/>
    <x v="0"/>
  </r>
  <r>
    <s v="E101"/>
    <x v="0"/>
    <x v="4"/>
    <x v="5"/>
    <n v="26"/>
    <n v="24"/>
    <n v="1"/>
    <n v="1"/>
    <x v="0"/>
  </r>
  <r>
    <s v="E102"/>
    <x v="1"/>
    <x v="1"/>
    <x v="5"/>
    <n v="26"/>
    <n v="24"/>
    <n v="1"/>
    <n v="1"/>
    <x v="0"/>
  </r>
  <r>
    <s v="E103"/>
    <x v="2"/>
    <x v="4"/>
    <x v="5"/>
    <n v="26"/>
    <n v="21"/>
    <n v="3"/>
    <n v="2"/>
    <x v="1"/>
  </r>
  <r>
    <s v="E104"/>
    <x v="3"/>
    <x v="3"/>
    <x v="5"/>
    <n v="26"/>
    <n v="24"/>
    <n v="1"/>
    <n v="1"/>
    <x v="0"/>
  </r>
  <r>
    <s v="E105"/>
    <x v="4"/>
    <x v="1"/>
    <x v="5"/>
    <n v="26"/>
    <n v="25"/>
    <n v="0"/>
    <n v="1"/>
    <x v="2"/>
  </r>
  <r>
    <s v="E106"/>
    <x v="5"/>
    <x v="0"/>
    <x v="5"/>
    <n v="26"/>
    <n v="21"/>
    <n v="3"/>
    <n v="2"/>
    <x v="1"/>
  </r>
  <r>
    <s v="E107"/>
    <x v="6"/>
    <x v="4"/>
    <x v="5"/>
    <n v="26"/>
    <n v="24"/>
    <n v="1"/>
    <n v="1"/>
    <x v="0"/>
  </r>
  <r>
    <s v="E108"/>
    <x v="7"/>
    <x v="1"/>
    <x v="5"/>
    <n v="26"/>
    <n v="25"/>
    <n v="1"/>
    <n v="0"/>
    <x v="7"/>
  </r>
  <r>
    <s v="E109"/>
    <x v="8"/>
    <x v="4"/>
    <x v="5"/>
    <n v="26"/>
    <n v="23"/>
    <n v="3"/>
    <n v="0"/>
    <x v="4"/>
  </r>
  <r>
    <s v="E110"/>
    <x v="9"/>
    <x v="3"/>
    <x v="5"/>
    <n v="26"/>
    <n v="25"/>
    <n v="0"/>
    <n v="1"/>
    <x v="2"/>
  </r>
  <r>
    <s v="E111"/>
    <x v="10"/>
    <x v="1"/>
    <x v="5"/>
    <n v="26"/>
    <n v="24"/>
    <n v="2"/>
    <n v="0"/>
    <x v="3"/>
  </r>
  <r>
    <s v="E112"/>
    <x v="11"/>
    <x v="3"/>
    <x v="5"/>
    <n v="26"/>
    <n v="24"/>
    <n v="1"/>
    <n v="1"/>
    <x v="0"/>
  </r>
  <r>
    <s v="E113"/>
    <x v="12"/>
    <x v="0"/>
    <x v="5"/>
    <n v="26"/>
    <n v="24"/>
    <n v="0"/>
    <n v="2"/>
    <x v="2"/>
  </r>
  <r>
    <s v="E114"/>
    <x v="13"/>
    <x v="2"/>
    <x v="5"/>
    <n v="26"/>
    <n v="25"/>
    <n v="0"/>
    <n v="1"/>
    <x v="2"/>
  </r>
  <r>
    <s v="E115"/>
    <x v="14"/>
    <x v="2"/>
    <x v="5"/>
    <n v="26"/>
    <n v="23"/>
    <n v="3"/>
    <n v="0"/>
    <x v="4"/>
  </r>
  <r>
    <s v="E116"/>
    <x v="15"/>
    <x v="2"/>
    <x v="5"/>
    <n v="26"/>
    <n v="22"/>
    <n v="2"/>
    <n v="2"/>
    <x v="8"/>
  </r>
  <r>
    <s v="E117"/>
    <x v="16"/>
    <x v="1"/>
    <x v="5"/>
    <n v="26"/>
    <n v="21"/>
    <n v="3"/>
    <n v="2"/>
    <x v="1"/>
  </r>
  <r>
    <s v="E118"/>
    <x v="17"/>
    <x v="0"/>
    <x v="5"/>
    <n v="26"/>
    <n v="23"/>
    <n v="3"/>
    <n v="0"/>
    <x v="4"/>
  </r>
  <r>
    <s v="E119"/>
    <x v="18"/>
    <x v="1"/>
    <x v="5"/>
    <n v="26"/>
    <n v="25"/>
    <n v="1"/>
    <n v="0"/>
    <x v="7"/>
  </r>
  <r>
    <s v="E120"/>
    <x v="19"/>
    <x v="3"/>
    <x v="5"/>
    <n v="26"/>
    <n v="24"/>
    <n v="0"/>
    <n v="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E5379B-AB88-4152-A882-2AA1769FF6F3}" name="PivotTable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D3:E10" firstHeaderRow="1" firstDataRow="1" firstDataCol="1"/>
  <pivotFields count="9">
    <pivotField compact="0" outline="0" showAll="0"/>
    <pivotField compact="0" outline="0" showAll="0"/>
    <pivotField compact="0" outline="0" showAll="0">
      <items count="6">
        <item x="0"/>
        <item x="1"/>
        <item x="2"/>
        <item x="4"/>
        <item x="3"/>
        <item t="default"/>
      </items>
    </pivotField>
    <pivotField axis="axisRow" compact="0" outline="0" showAll="0">
      <items count="7">
        <item x="0"/>
        <item x="1"/>
        <item x="2"/>
        <item x="3"/>
        <item x="4"/>
        <item x="5"/>
        <item t="default"/>
      </items>
    </pivotField>
    <pivotField compact="0" outline="0" showAll="0"/>
    <pivotField compact="0" outline="0" showAll="0"/>
    <pivotField compact="0" outline="0" showAll="0"/>
    <pivotField compact="0" outline="0" showAll="0"/>
    <pivotField dataField="1" compact="0" numFmtId="10" outline="0" showAll="0">
      <items count="11">
        <item x="1"/>
        <item h="1" x="6"/>
        <item h="1" x="4"/>
        <item h="1" x="8"/>
        <item h="1" x="5"/>
        <item h="1" x="3"/>
        <item h="1" x="9"/>
        <item h="1" x="0"/>
        <item h="1" x="7"/>
        <item h="1" x="2"/>
        <item t="default"/>
      </items>
    </pivotField>
  </pivotFields>
  <rowFields count="1">
    <field x="3"/>
  </rowFields>
  <rowItems count="7">
    <i>
      <x/>
    </i>
    <i>
      <x v="1"/>
    </i>
    <i>
      <x v="2"/>
    </i>
    <i>
      <x v="3"/>
    </i>
    <i>
      <x v="4"/>
    </i>
    <i>
      <x v="5"/>
    </i>
    <i t="grand">
      <x/>
    </i>
  </rowItems>
  <colItems count="1">
    <i/>
  </colItems>
  <dataFields count="1">
    <dataField name="Average of Attendance %" fld="8" subtotal="average" baseField="0" baseItem="0" numFmtId="10"/>
  </dataFields>
  <chartFormats count="5">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6CB931-8F40-4A70-B45B-5870707B5FE3}" name="PivotTable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9" firstHeaderRow="1" firstDataRow="1" firstDataCol="1"/>
  <pivotFields count="9">
    <pivotField compact="0" outline="0" showAll="0"/>
    <pivotField compact="0" outline="0" showAll="0"/>
    <pivotField axis="axisRow" compact="0" outline="0" showAll="0">
      <items count="6">
        <item x="0"/>
        <item x="1"/>
        <item x="2"/>
        <item x="4"/>
        <item x="3"/>
        <item t="default"/>
      </items>
    </pivotField>
    <pivotField compact="0" outline="0" showAll="0"/>
    <pivotField compact="0" outline="0" showAll="0"/>
    <pivotField compact="0" outline="0" showAll="0"/>
    <pivotField compact="0" outline="0" showAll="0"/>
    <pivotField compact="0" outline="0" showAll="0"/>
    <pivotField dataField="1" compact="0" numFmtId="10" outline="0" showAll="0">
      <items count="11">
        <item x="1"/>
        <item h="1" x="6"/>
        <item h="1" x="4"/>
        <item h="1" x="8"/>
        <item h="1" x="5"/>
        <item h="1" x="3"/>
        <item h="1" x="9"/>
        <item h="1" x="0"/>
        <item h="1" x="7"/>
        <item h="1" x="2"/>
        <item t="default"/>
      </items>
    </pivotField>
  </pivotFields>
  <rowFields count="1">
    <field x="2"/>
  </rowFields>
  <rowItems count="6">
    <i>
      <x/>
    </i>
    <i>
      <x v="1"/>
    </i>
    <i>
      <x v="2"/>
    </i>
    <i>
      <x v="3"/>
    </i>
    <i>
      <x v="4"/>
    </i>
    <i t="grand">
      <x/>
    </i>
  </rowItems>
  <colItems count="1">
    <i/>
  </colItems>
  <dataFields count="1">
    <dataField name="Average of Attendance %" fld="8" subtotal="average" baseField="0" baseItem="0" numFmtId="1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5CB0DD-7A0D-4A62-8771-CD7E7B59E074}" name="PivotTable5"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M3:N17" firstHeaderRow="1" firstDataRow="1" firstDataCol="1"/>
  <pivotFields count="9">
    <pivotField compact="0" outline="0" showAll="0"/>
    <pivotField axis="axisRow" compact="0" outline="0" showAll="0">
      <items count="21">
        <item h="1" x="15"/>
        <item h="1" x="0"/>
        <item h="1" x="5"/>
        <item h="1" x="10"/>
        <item h="1" x="17"/>
        <item h="1" x="6"/>
        <item h="1" x="16"/>
        <item x="19"/>
        <item x="14"/>
        <item x="3"/>
        <item x="11"/>
        <item x="9"/>
        <item x="1"/>
        <item x="2"/>
        <item x="12"/>
        <item x="4"/>
        <item x="13"/>
        <item x="18"/>
        <item x="7"/>
        <item x="8"/>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numFmtId="10" outline="0" showAll="0">
      <items count="11">
        <item x="1"/>
        <item x="6"/>
        <item x="4"/>
        <item x="8"/>
        <item x="5"/>
        <item x="3"/>
        <item x="9"/>
        <item x="0"/>
        <item x="7"/>
        <item x="2"/>
        <item t="default"/>
      </items>
    </pivotField>
  </pivotFields>
  <rowFields count="1">
    <field x="1"/>
  </rowFields>
  <rowItems count="14">
    <i>
      <x v="7"/>
    </i>
    <i>
      <x v="8"/>
    </i>
    <i>
      <x v="9"/>
    </i>
    <i>
      <x v="10"/>
    </i>
    <i>
      <x v="11"/>
    </i>
    <i>
      <x v="12"/>
    </i>
    <i>
      <x v="13"/>
    </i>
    <i>
      <x v="14"/>
    </i>
    <i>
      <x v="15"/>
    </i>
    <i>
      <x v="16"/>
    </i>
    <i>
      <x v="17"/>
    </i>
    <i>
      <x v="18"/>
    </i>
    <i>
      <x v="19"/>
    </i>
    <i t="grand">
      <x/>
    </i>
  </rowItems>
  <colItems count="1">
    <i/>
  </colItems>
  <dataFields count="1">
    <dataField name="Average of Attendance %" fld="8" subtotal="average" baseField="0" baseItem="0" numFmtId="10"/>
  </dataField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DBD5C8-4275-49E4-9173-6D23BF2A87EB}"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J3:K9" firstHeaderRow="1" firstDataRow="1" firstDataCol="1"/>
  <pivotFields count="9">
    <pivotField compact="0" outline="0" showAll="0"/>
    <pivotField compact="0" outline="0" showAll="0"/>
    <pivotField axis="axisRow" compact="0" outline="0" showAll="0">
      <items count="6">
        <item x="0"/>
        <item x="1"/>
        <item x="2"/>
        <item x="4"/>
        <item x="3"/>
        <item t="default"/>
      </items>
    </pivotField>
    <pivotField compact="0" outline="0" showAll="0"/>
    <pivotField compact="0" outline="0" showAll="0"/>
    <pivotField compact="0" outline="0" showAll="0"/>
    <pivotField compact="0" outline="0" showAll="0"/>
    <pivotField dataField="1" compact="0" outline="0" showAll="0"/>
    <pivotField compact="0" numFmtId="10" outline="0" showAll="0"/>
  </pivotFields>
  <rowFields count="1">
    <field x="2"/>
  </rowFields>
  <rowItems count="6">
    <i>
      <x/>
    </i>
    <i>
      <x v="1"/>
    </i>
    <i>
      <x v="2"/>
    </i>
    <i>
      <x v="3"/>
    </i>
    <i>
      <x v="4"/>
    </i>
    <i t="grand">
      <x/>
    </i>
  </rowItems>
  <colItems count="1">
    <i/>
  </colItems>
  <dataFields count="1">
    <dataField name="Sum of Leave" fld="7" baseField="0" baseItem="0"/>
  </dataFields>
  <chartFormats count="1">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800489-357B-4113-A336-7C28A5BD93A3}" name="PivotTable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G3:H9" firstHeaderRow="1" firstDataRow="1" firstDataCol="1"/>
  <pivotFields count="9">
    <pivotField compact="0" outline="0" showAll="0"/>
    <pivotField compact="0" outline="0" showAll="0"/>
    <pivotField axis="axisRow" compact="0" outline="0" showAll="0">
      <items count="6">
        <item x="0"/>
        <item x="1"/>
        <item x="2"/>
        <item x="4"/>
        <item x="3"/>
        <item t="default"/>
      </items>
    </pivotField>
    <pivotField compact="0" outline="0" showAll="0"/>
    <pivotField compact="0" outline="0" showAll="0"/>
    <pivotField compact="0" outline="0" showAll="0"/>
    <pivotField dataField="1" compact="0" outline="0" showAll="0"/>
    <pivotField compact="0" outline="0" showAll="0"/>
    <pivotField compact="0" numFmtId="10" outline="0" showAll="0"/>
  </pivotFields>
  <rowFields count="1">
    <field x="2"/>
  </rowFields>
  <rowItems count="6">
    <i>
      <x/>
    </i>
    <i>
      <x v="1"/>
    </i>
    <i>
      <x v="2"/>
    </i>
    <i>
      <x v="3"/>
    </i>
    <i>
      <x v="4"/>
    </i>
    <i t="grand">
      <x/>
    </i>
  </rowItems>
  <colItems count="1">
    <i/>
  </colItems>
  <dataFields count="1">
    <dataField name="Sum of Absent" fld="6" baseField="0" baseItem="0"/>
  </dataFields>
  <chartFormats count="24">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2" format="4">
      <pivotArea type="data" outline="0" fieldPosition="0">
        <references count="2">
          <reference field="4294967294" count="1" selected="0">
            <x v="0"/>
          </reference>
          <reference field="2" count="1" selected="0">
            <x v="2"/>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2" count="1" selected="0">
            <x v="0"/>
          </reference>
        </references>
      </pivotArea>
    </chartFormat>
    <chartFormat chart="4" format="15">
      <pivotArea type="data" outline="0" fieldPosition="0">
        <references count="2">
          <reference field="4294967294" count="1" selected="0">
            <x v="0"/>
          </reference>
          <reference field="2" count="1" selected="0">
            <x v="1"/>
          </reference>
        </references>
      </pivotArea>
    </chartFormat>
    <chartFormat chart="4" format="16">
      <pivotArea type="data" outline="0" fieldPosition="0">
        <references count="2">
          <reference field="4294967294" count="1" selected="0">
            <x v="0"/>
          </reference>
          <reference field="2" count="1" selected="0">
            <x v="2"/>
          </reference>
        </references>
      </pivotArea>
    </chartFormat>
    <chartFormat chart="4" format="17">
      <pivotArea type="data" outline="0" fieldPosition="0">
        <references count="2">
          <reference field="4294967294" count="1" selected="0">
            <x v="0"/>
          </reference>
          <reference field="2" count="1" selected="0">
            <x v="3"/>
          </reference>
        </references>
      </pivotArea>
    </chartFormat>
    <chartFormat chart="4" format="18">
      <pivotArea type="data" outline="0" fieldPosition="0">
        <references count="2">
          <reference field="4294967294" count="1" selected="0">
            <x v="0"/>
          </reference>
          <reference field="2" count="1" selected="0">
            <x v="4"/>
          </reference>
        </references>
      </pivotArea>
    </chartFormat>
    <chartFormat chart="5" format="25" series="1">
      <pivotArea type="data" outline="0" fieldPosition="0">
        <references count="1">
          <reference field="4294967294" count="1" selected="0">
            <x v="0"/>
          </reference>
        </references>
      </pivotArea>
    </chartFormat>
    <chartFormat chart="5" format="26">
      <pivotArea type="data" outline="0" fieldPosition="0">
        <references count="2">
          <reference field="4294967294" count="1" selected="0">
            <x v="0"/>
          </reference>
          <reference field="2" count="1" selected="0">
            <x v="0"/>
          </reference>
        </references>
      </pivotArea>
    </chartFormat>
    <chartFormat chart="5" format="27">
      <pivotArea type="data" outline="0" fieldPosition="0">
        <references count="2">
          <reference field="4294967294" count="1" selected="0">
            <x v="0"/>
          </reference>
          <reference field="2" count="1" selected="0">
            <x v="1"/>
          </reference>
        </references>
      </pivotArea>
    </chartFormat>
    <chartFormat chart="5" format="28">
      <pivotArea type="data" outline="0" fieldPosition="0">
        <references count="2">
          <reference field="4294967294" count="1" selected="0">
            <x v="0"/>
          </reference>
          <reference field="2" count="1" selected="0">
            <x v="2"/>
          </reference>
        </references>
      </pivotArea>
    </chartFormat>
    <chartFormat chart="5" format="29">
      <pivotArea type="data" outline="0" fieldPosition="0">
        <references count="2">
          <reference field="4294967294" count="1" selected="0">
            <x v="0"/>
          </reference>
          <reference field="2" count="1" selected="0">
            <x v="3"/>
          </reference>
        </references>
      </pivotArea>
    </chartFormat>
    <chartFormat chart="5" format="30">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216647-E738-48A7-A854-9BD51FF34180}" sourceName="Department">
  <pivotTables>
    <pivotTable tabId="2" name="PivotTable1"/>
  </pivotTables>
  <data>
    <tabular pivotCacheId="1549975594">
      <items count="5">
        <i x="0" s="1"/>
        <i x="1" s="1"/>
        <i x="2"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098FC6D-256A-48A0-8190-384778A9F4F6}" sourceName="Month">
  <pivotTables>
    <pivotTable tabId="2" name="PivotTable2"/>
  </pivotTables>
  <data>
    <tabular pivotCacheId="1549975594">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35EAECB2-D435-4E97-90F9-418275FFE81D}" sourceName="Department">
  <pivotTables>
    <pivotTable tabId="2" name="PivotTable3"/>
  </pivotTables>
  <data>
    <tabular pivotCacheId="1549975594">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3D44D2AD-52A8-4A3A-B6B3-FB4DB4F807DF}" sourceName="Department">
  <pivotTables>
    <pivotTable tabId="2" name="PivotTable4"/>
  </pivotTables>
  <data>
    <tabular pivotCacheId="1549975594">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Name" xr10:uid="{02918089-0431-4314-B629-EDDA8A88C3B5}" sourceName="Employee Name">
  <pivotTables>
    <pivotTable tabId="2" name="PivotTable5"/>
  </pivotTables>
  <data>
    <tabular pivotCacheId="1549975594">
      <items count="20">
        <i x="15"/>
        <i x="0"/>
        <i x="5"/>
        <i x="10"/>
        <i x="17"/>
        <i x="6"/>
        <i x="16"/>
        <i x="19" s="1"/>
        <i x="14" s="1"/>
        <i x="3" s="1"/>
        <i x="11" s="1"/>
        <i x="9" s="1"/>
        <i x="1" s="1"/>
        <i x="2" s="1"/>
        <i x="12" s="1"/>
        <i x="4" s="1"/>
        <i x="13" s="1"/>
        <i x="18"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4B1C6BD-EEE1-491E-805C-DB84C5CCEC15}" cache="Slicer_Department" caption="Department" style="SlicerStyleLight3" rowHeight="228600"/>
  <slicer name="Month" xr10:uid="{0DFFBC71-5CE0-4571-ACD9-698828D21EA5}" cache="Slicer_Month" caption="Month" style="SlicerStyleLight6" rowHeight="228600"/>
  <slicer name="Department 2" xr10:uid="{35918BD9-415C-43F3-B824-A2714A111B9A}" cache="Slicer_Department1" caption="Department" style="SlicerStyleLight3" rowHeight="228600"/>
  <slicer name="Department 3" xr10:uid="{7B3EA489-4C94-4ECA-B0B2-84061DDA0883}" cache="Slicer_Department2" caption="Department" style="SlicerStyleLight6" rowHeight="228600"/>
  <slicer name="Employee Name" xr10:uid="{8333C775-EC17-4413-8101-9FF638BE5591}" cache="Slicer_Employee_Name" caption="Employee Name" style="SlicerStyleLight3"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16CC22E-9DBD-470C-8E1D-92D2E433D00C}" cache="Slicer_Department" caption="Department" style="SlicerStyleLight3" rowHeight="228600"/>
  <slicer name="Month 1" xr10:uid="{5B007793-3C66-4DEB-A5D2-17902B67ADC9}" cache="Slicer_Month" caption="Month" style="SlicerStyleLight6" rowHeight="228600"/>
  <slicer name="Department 4" xr10:uid="{D2FAD27D-2AD3-4762-BACD-3FC3B9CE4939}" cache="Slicer_Department1" caption="Department" style="SlicerStyleLight3" rowHeight="228600"/>
  <slicer name="Department 5" xr10:uid="{80F336C5-F08A-4CA1-B6FD-20BEA2BF63BF}" cache="Slicer_Department2" caption="Department" style="SlicerStyleLight6" rowHeight="228600"/>
  <slicer name="Employee Name 1" xr10:uid="{1BA069E5-A34C-46FA-86E2-1C3B6FF48775}" cache="Slicer_Employee_Name" caption="Employee Name" startItem="6" style="SlicerStyleLight3" rowHeight="228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FDDC0-9901-4DE4-AC2F-4EBABF4D8540}">
  <dimension ref="A3:N17"/>
  <sheetViews>
    <sheetView workbookViewId="0">
      <selection activeCell="G3" sqref="G3:H9"/>
    </sheetView>
  </sheetViews>
  <sheetFormatPr defaultRowHeight="14.4" x14ac:dyDescent="0.3"/>
  <cols>
    <col min="1" max="1" width="13.33203125" bestFit="1" customWidth="1"/>
    <col min="2" max="2" width="22.5546875" bestFit="1" customWidth="1"/>
    <col min="3" max="3" width="20" bestFit="1" customWidth="1"/>
    <col min="4" max="4" width="10.77734375" bestFit="1" customWidth="1"/>
    <col min="5" max="5" width="22.5546875" bestFit="1" customWidth="1"/>
    <col min="6" max="6" width="23.33203125" bestFit="1" customWidth="1"/>
    <col min="7" max="7" width="13.33203125" bestFit="1" customWidth="1"/>
    <col min="8" max="8" width="13.44140625" bestFit="1" customWidth="1"/>
    <col min="9" max="9" width="13.88671875" bestFit="1" customWidth="1"/>
    <col min="10" max="10" width="13.33203125" bestFit="1" customWidth="1"/>
    <col min="11" max="11" width="12.33203125" bestFit="1" customWidth="1"/>
    <col min="13" max="13" width="17.109375" bestFit="1" customWidth="1"/>
    <col min="14" max="14" width="22.5546875" bestFit="1" customWidth="1"/>
  </cols>
  <sheetData>
    <row r="3" spans="1:14" x14ac:dyDescent="0.3">
      <c r="A3" s="2" t="s">
        <v>0</v>
      </c>
      <c r="B3" t="s">
        <v>1</v>
      </c>
      <c r="D3" s="2" t="s">
        <v>2</v>
      </c>
      <c r="E3" t="s">
        <v>1</v>
      </c>
      <c r="G3" s="2" t="s">
        <v>0</v>
      </c>
      <c r="H3" t="s">
        <v>3</v>
      </c>
      <c r="J3" s="2" t="s">
        <v>0</v>
      </c>
      <c r="K3" t="s">
        <v>4</v>
      </c>
      <c r="M3" s="2" t="s">
        <v>5</v>
      </c>
      <c r="N3" t="s">
        <v>1</v>
      </c>
    </row>
    <row r="4" spans="1:14" x14ac:dyDescent="0.3">
      <c r="A4" t="s">
        <v>6</v>
      </c>
      <c r="B4" s="1">
        <v>0.95210683760683767</v>
      </c>
      <c r="D4" t="s">
        <v>7</v>
      </c>
      <c r="E4" s="1">
        <v>0.94611538461538469</v>
      </c>
      <c r="G4" t="s">
        <v>6</v>
      </c>
      <c r="H4">
        <v>36</v>
      </c>
      <c r="J4" t="s">
        <v>6</v>
      </c>
      <c r="K4">
        <v>30</v>
      </c>
      <c r="M4" t="s">
        <v>25</v>
      </c>
      <c r="N4" s="1">
        <v>0.95303418803418805</v>
      </c>
    </row>
    <row r="5" spans="1:14" x14ac:dyDescent="0.3">
      <c r="A5" t="s">
        <v>9</v>
      </c>
      <c r="B5" s="1">
        <v>0.93754036087369408</v>
      </c>
      <c r="D5" t="s">
        <v>10</v>
      </c>
      <c r="E5" s="1">
        <v>0.96674999999999989</v>
      </c>
      <c r="G5" t="s">
        <v>9</v>
      </c>
      <c r="H5">
        <v>42</v>
      </c>
      <c r="J5" t="s">
        <v>9</v>
      </c>
      <c r="K5">
        <v>25</v>
      </c>
      <c r="M5" t="s">
        <v>26</v>
      </c>
      <c r="N5" s="1">
        <v>0.93271367521367532</v>
      </c>
    </row>
    <row r="6" spans="1:14" x14ac:dyDescent="0.3">
      <c r="A6" t="s">
        <v>12</v>
      </c>
      <c r="B6" s="1">
        <v>0.95152243589743579</v>
      </c>
      <c r="D6" t="s">
        <v>13</v>
      </c>
      <c r="E6" s="1">
        <v>0.95547435897435895</v>
      </c>
      <c r="G6" t="s">
        <v>12</v>
      </c>
      <c r="H6">
        <v>29</v>
      </c>
      <c r="J6" t="s">
        <v>12</v>
      </c>
      <c r="K6">
        <v>26</v>
      </c>
      <c r="M6" t="s">
        <v>27</v>
      </c>
      <c r="N6" s="1">
        <v>0.95166666666666666</v>
      </c>
    </row>
    <row r="7" spans="1:14" x14ac:dyDescent="0.3">
      <c r="A7" t="s">
        <v>15</v>
      </c>
      <c r="B7" s="1">
        <v>0.95122435897435886</v>
      </c>
      <c r="D7" t="s">
        <v>16</v>
      </c>
      <c r="E7" s="1">
        <v>0.93767307692307678</v>
      </c>
      <c r="G7" t="s">
        <v>15</v>
      </c>
      <c r="H7">
        <v>24</v>
      </c>
      <c r="J7" t="s">
        <v>15</v>
      </c>
      <c r="K7">
        <v>19</v>
      </c>
      <c r="M7" t="s">
        <v>28</v>
      </c>
      <c r="N7" s="1">
        <v>0.9869230769230769</v>
      </c>
    </row>
    <row r="8" spans="1:14" x14ac:dyDescent="0.3">
      <c r="A8" t="s">
        <v>18</v>
      </c>
      <c r="B8" s="1">
        <v>0.94561403508771935</v>
      </c>
      <c r="D8" t="s">
        <v>19</v>
      </c>
      <c r="E8" s="1">
        <v>0.93712820512820516</v>
      </c>
      <c r="G8" t="s">
        <v>18</v>
      </c>
      <c r="H8">
        <v>26</v>
      </c>
      <c r="J8" t="s">
        <v>18</v>
      </c>
      <c r="K8">
        <v>16</v>
      </c>
      <c r="M8" t="s">
        <v>29</v>
      </c>
      <c r="N8" s="1">
        <v>0.96666666666666667</v>
      </c>
    </row>
    <row r="9" spans="1:14" x14ac:dyDescent="0.3">
      <c r="A9" t="s">
        <v>21</v>
      </c>
      <c r="B9" s="1">
        <v>0.94753739316239338</v>
      </c>
      <c r="D9" t="s">
        <v>22</v>
      </c>
      <c r="E9" s="1">
        <v>0.94208333333333327</v>
      </c>
      <c r="G9" t="s">
        <v>21</v>
      </c>
      <c r="H9">
        <v>157</v>
      </c>
      <c r="J9" t="s">
        <v>21</v>
      </c>
      <c r="K9">
        <v>116</v>
      </c>
      <c r="M9" t="s">
        <v>30</v>
      </c>
      <c r="N9" s="1">
        <v>0.94128205128205134</v>
      </c>
    </row>
    <row r="10" spans="1:14" x14ac:dyDescent="0.3">
      <c r="D10" t="s">
        <v>21</v>
      </c>
      <c r="E10" s="1">
        <v>0.94753739316239316</v>
      </c>
      <c r="M10" t="s">
        <v>31</v>
      </c>
      <c r="N10" s="1">
        <v>0.93055555555555547</v>
      </c>
    </row>
    <row r="11" spans="1:14" x14ac:dyDescent="0.3">
      <c r="M11" t="s">
        <v>32</v>
      </c>
      <c r="N11" s="1">
        <v>0.92735042735042728</v>
      </c>
    </row>
    <row r="12" spans="1:14" x14ac:dyDescent="0.3">
      <c r="M12" t="s">
        <v>33</v>
      </c>
      <c r="N12" s="1">
        <v>0.96634615384615385</v>
      </c>
    </row>
    <row r="13" spans="1:14" x14ac:dyDescent="0.3">
      <c r="M13" t="s">
        <v>34</v>
      </c>
      <c r="N13" s="1">
        <v>0.97997863247863248</v>
      </c>
    </row>
    <row r="14" spans="1:14" x14ac:dyDescent="0.3">
      <c r="M14" t="s">
        <v>35</v>
      </c>
      <c r="N14" s="1">
        <v>0.98717948717948723</v>
      </c>
    </row>
    <row r="15" spans="1:14" x14ac:dyDescent="0.3">
      <c r="M15" t="s">
        <v>36</v>
      </c>
      <c r="N15" s="1">
        <v>0.95354700854700869</v>
      </c>
    </row>
    <row r="16" spans="1:14" x14ac:dyDescent="0.3">
      <c r="M16" t="s">
        <v>37</v>
      </c>
      <c r="N16" s="1">
        <v>0.94044871794871787</v>
      </c>
    </row>
    <row r="17" spans="13:14" x14ac:dyDescent="0.3">
      <c r="M17" t="s">
        <v>21</v>
      </c>
      <c r="N17" s="1">
        <v>0.95520710059171599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AE534-0724-4653-BD15-DF269B91948E}">
  <dimension ref="A1:W57"/>
  <sheetViews>
    <sheetView topLeftCell="A22" zoomScale="78" zoomScaleNormal="78" workbookViewId="0">
      <selection activeCell="Y35" sqref="Y35"/>
    </sheetView>
  </sheetViews>
  <sheetFormatPr defaultRowHeight="14.4" x14ac:dyDescent="0.3"/>
  <sheetData>
    <row r="1" spans="1:23" ht="15" customHeight="1" x14ac:dyDescent="0.3">
      <c r="A1" s="3"/>
      <c r="B1" s="4"/>
      <c r="C1" s="4"/>
      <c r="D1" s="4"/>
      <c r="E1" s="4"/>
      <c r="F1" s="4"/>
      <c r="H1" s="6"/>
      <c r="I1" s="8" t="s">
        <v>65</v>
      </c>
      <c r="J1" s="9"/>
      <c r="K1" s="9"/>
      <c r="L1" s="9"/>
      <c r="M1" s="9"/>
      <c r="N1" s="9"/>
      <c r="O1" s="9"/>
      <c r="P1" s="9"/>
      <c r="T1" s="7"/>
      <c r="U1" s="7"/>
      <c r="V1" s="7"/>
      <c r="W1" s="7"/>
    </row>
    <row r="2" spans="1:23" ht="15" customHeight="1" x14ac:dyDescent="0.3">
      <c r="A2" s="5"/>
      <c r="B2" s="4"/>
      <c r="C2" s="4"/>
      <c r="D2" s="4"/>
      <c r="E2" s="4"/>
      <c r="F2" s="4"/>
      <c r="H2" s="6"/>
      <c r="I2" s="9"/>
      <c r="J2" s="9"/>
      <c r="K2" s="9"/>
      <c r="L2" s="9"/>
      <c r="M2" s="9"/>
      <c r="N2" s="9"/>
      <c r="O2" s="9"/>
      <c r="P2" s="9"/>
      <c r="T2" s="7"/>
      <c r="U2" s="7"/>
      <c r="V2" s="7"/>
      <c r="W2" s="7"/>
    </row>
    <row r="3" spans="1:23" ht="23.4" customHeight="1" x14ac:dyDescent="0.3">
      <c r="H3" s="6"/>
      <c r="I3" s="9"/>
      <c r="J3" s="9"/>
      <c r="K3" s="9"/>
      <c r="L3" s="9"/>
      <c r="M3" s="9"/>
      <c r="N3" s="9"/>
      <c r="O3" s="9"/>
      <c r="P3" s="9"/>
      <c r="T3" s="7"/>
      <c r="U3" s="7"/>
      <c r="V3" s="7"/>
      <c r="W3" s="7"/>
    </row>
    <row r="4" spans="1:23" ht="23.4" customHeight="1" x14ac:dyDescent="0.3">
      <c r="H4" s="6"/>
      <c r="I4" s="9"/>
      <c r="J4" s="9"/>
      <c r="K4" s="9"/>
      <c r="L4" s="9"/>
      <c r="M4" s="9"/>
      <c r="N4" s="9"/>
      <c r="O4" s="9"/>
      <c r="P4" s="9"/>
      <c r="T4" s="7"/>
      <c r="U4" s="7"/>
      <c r="V4" s="7"/>
      <c r="W4" s="7"/>
    </row>
    <row r="5" spans="1:23" ht="14.4" customHeight="1" x14ac:dyDescent="0.3">
      <c r="A5" s="7" t="s">
        <v>38</v>
      </c>
      <c r="B5" s="7"/>
      <c r="C5" s="7"/>
      <c r="D5" s="7"/>
      <c r="E5" s="7"/>
      <c r="F5" s="7"/>
      <c r="G5" s="7"/>
      <c r="H5" s="7"/>
      <c r="I5" s="7"/>
      <c r="J5" s="7"/>
      <c r="K5" s="7"/>
      <c r="L5" s="7"/>
      <c r="M5" s="7"/>
      <c r="N5" s="7"/>
      <c r="O5" s="7"/>
      <c r="P5" s="7"/>
      <c r="Q5" s="7"/>
      <c r="R5" s="7"/>
      <c r="S5" s="7"/>
      <c r="T5" s="7"/>
      <c r="U5" s="7"/>
      <c r="V5" s="7"/>
      <c r="W5" s="7"/>
    </row>
    <row r="6" spans="1:23" ht="14.4" customHeight="1" x14ac:dyDescent="0.3">
      <c r="A6" s="7"/>
      <c r="B6" s="7"/>
      <c r="C6" s="7"/>
      <c r="D6" s="7"/>
      <c r="E6" s="7"/>
      <c r="F6" s="7"/>
      <c r="G6" s="7"/>
      <c r="H6" s="7"/>
      <c r="I6" s="7"/>
      <c r="J6" s="7"/>
      <c r="K6" s="7"/>
      <c r="L6" s="7"/>
      <c r="M6" s="7"/>
      <c r="N6" s="7"/>
      <c r="O6" s="7"/>
      <c r="P6" s="7"/>
      <c r="Q6" s="7"/>
      <c r="R6" s="7"/>
      <c r="S6" s="7"/>
      <c r="T6" s="7"/>
      <c r="U6" s="7"/>
      <c r="V6" s="7"/>
      <c r="W6" s="7"/>
    </row>
    <row r="7" spans="1:23" ht="14.4" customHeight="1" x14ac:dyDescent="0.3">
      <c r="A7" s="7"/>
      <c r="B7" s="7"/>
      <c r="C7" s="7"/>
      <c r="D7" s="7"/>
      <c r="E7" s="7"/>
      <c r="F7" s="7"/>
      <c r="G7" s="7"/>
      <c r="H7" s="7"/>
      <c r="I7" s="7"/>
      <c r="J7" s="7"/>
      <c r="K7" s="7"/>
      <c r="L7" s="7"/>
      <c r="M7" s="7"/>
      <c r="N7" s="7"/>
      <c r="O7" s="7"/>
      <c r="P7" s="7"/>
      <c r="Q7" s="7"/>
      <c r="R7" s="7"/>
      <c r="S7" s="7"/>
      <c r="T7" s="7"/>
      <c r="U7" s="7"/>
      <c r="V7" s="7"/>
      <c r="W7" s="7"/>
    </row>
    <row r="8" spans="1:23" ht="14.4" customHeight="1" x14ac:dyDescent="0.3">
      <c r="A8" s="7"/>
      <c r="B8" s="7"/>
      <c r="C8" s="7"/>
      <c r="D8" s="7"/>
      <c r="E8" s="7"/>
      <c r="F8" s="7"/>
      <c r="G8" s="7"/>
      <c r="H8" s="7"/>
      <c r="I8" s="7"/>
      <c r="J8" s="7"/>
      <c r="K8" s="7"/>
      <c r="L8" s="7"/>
      <c r="M8" s="7"/>
      <c r="N8" s="7"/>
      <c r="O8" s="7"/>
      <c r="P8" s="7"/>
      <c r="Q8" s="7"/>
      <c r="R8" s="7"/>
      <c r="S8" s="7"/>
      <c r="T8" s="7"/>
      <c r="U8" s="7"/>
      <c r="V8" s="7"/>
      <c r="W8" s="7"/>
    </row>
    <row r="9" spans="1:23" ht="14.4" customHeight="1" x14ac:dyDescent="0.3">
      <c r="A9" s="7"/>
      <c r="B9" s="7"/>
      <c r="C9" s="7"/>
      <c r="D9" s="7"/>
      <c r="E9" s="7"/>
      <c r="F9" s="7"/>
      <c r="G9" s="7"/>
      <c r="H9" s="7"/>
      <c r="I9" s="7"/>
      <c r="J9" s="7"/>
      <c r="K9" s="7"/>
      <c r="L9" s="7"/>
      <c r="M9" s="7"/>
      <c r="N9" s="7"/>
      <c r="O9" s="7"/>
      <c r="P9" s="7"/>
      <c r="Q9" s="7"/>
      <c r="R9" s="7"/>
      <c r="S9" s="7"/>
      <c r="T9" s="7"/>
      <c r="U9" s="7"/>
      <c r="V9" s="7"/>
      <c r="W9" s="7"/>
    </row>
    <row r="10" spans="1:23" ht="14.4" customHeight="1" x14ac:dyDescent="0.3">
      <c r="A10" s="7"/>
      <c r="B10" s="7"/>
      <c r="C10" s="7"/>
      <c r="D10" s="7"/>
      <c r="E10" s="7"/>
      <c r="F10" s="7"/>
      <c r="G10" s="7"/>
      <c r="H10" s="7"/>
      <c r="I10" s="7"/>
      <c r="J10" s="7"/>
      <c r="K10" s="7"/>
      <c r="L10" s="7"/>
      <c r="M10" s="7"/>
      <c r="N10" s="7"/>
      <c r="O10" s="7"/>
      <c r="P10" s="7"/>
      <c r="Q10" s="7"/>
      <c r="R10" s="7"/>
      <c r="S10" s="7"/>
      <c r="T10" s="7"/>
      <c r="U10" s="7"/>
      <c r="V10" s="7"/>
      <c r="W10" s="7"/>
    </row>
    <row r="11" spans="1:23" ht="14.4" customHeight="1" x14ac:dyDescent="0.3">
      <c r="A11" s="7"/>
      <c r="B11" s="7"/>
      <c r="C11" s="7"/>
      <c r="D11" s="7"/>
      <c r="E11" s="7"/>
      <c r="F11" s="7"/>
      <c r="G11" s="7"/>
      <c r="H11" s="7"/>
      <c r="I11" s="7"/>
      <c r="J11" s="7"/>
      <c r="K11" s="7"/>
      <c r="L11" s="7"/>
      <c r="M11" s="7"/>
      <c r="N11" s="7"/>
      <c r="O11" s="7"/>
      <c r="P11" s="7"/>
      <c r="Q11" s="7"/>
      <c r="R11" s="7"/>
      <c r="S11" s="7"/>
      <c r="T11" s="7"/>
      <c r="U11" s="7"/>
      <c r="V11" s="7"/>
      <c r="W11" s="7"/>
    </row>
    <row r="12" spans="1:23" ht="14.4" customHeight="1" x14ac:dyDescent="0.3">
      <c r="A12" s="7"/>
      <c r="B12" s="7"/>
      <c r="C12" s="7"/>
      <c r="D12" s="7"/>
      <c r="E12" s="7"/>
      <c r="F12" s="7"/>
      <c r="G12" s="7"/>
      <c r="H12" s="7"/>
      <c r="I12" s="7"/>
      <c r="J12" s="7"/>
      <c r="K12" s="7"/>
      <c r="L12" s="7"/>
      <c r="M12" s="7"/>
      <c r="N12" s="7"/>
      <c r="O12" s="7"/>
      <c r="P12" s="7"/>
      <c r="Q12" s="7"/>
      <c r="R12" s="7"/>
      <c r="S12" s="7"/>
      <c r="T12" s="7"/>
      <c r="U12" s="7"/>
      <c r="V12" s="7"/>
      <c r="W12" s="7"/>
    </row>
    <row r="13" spans="1:23" ht="14.4" customHeight="1" x14ac:dyDescent="0.3">
      <c r="A13" s="7"/>
      <c r="B13" s="7"/>
      <c r="C13" s="7"/>
      <c r="D13" s="7"/>
      <c r="E13" s="7"/>
      <c r="F13" s="7"/>
      <c r="G13" s="7"/>
      <c r="H13" s="7"/>
      <c r="I13" s="7"/>
      <c r="J13" s="7"/>
      <c r="K13" s="7"/>
      <c r="L13" s="7"/>
      <c r="M13" s="7"/>
      <c r="N13" s="7"/>
      <c r="O13" s="7"/>
      <c r="P13" s="7"/>
      <c r="Q13" s="7"/>
      <c r="R13" s="7"/>
      <c r="S13" s="7"/>
      <c r="T13" s="7"/>
      <c r="U13" s="7"/>
      <c r="V13" s="7"/>
      <c r="W13" s="7"/>
    </row>
    <row r="14" spans="1:23" ht="14.4" customHeight="1" x14ac:dyDescent="0.3">
      <c r="A14" s="7"/>
      <c r="B14" s="7"/>
      <c r="C14" s="7"/>
      <c r="D14" s="7"/>
      <c r="E14" s="7"/>
      <c r="F14" s="7"/>
      <c r="G14" s="7"/>
      <c r="H14" s="7"/>
      <c r="I14" s="7"/>
      <c r="J14" s="7"/>
      <c r="K14" s="7"/>
      <c r="L14" s="7"/>
      <c r="M14" s="7"/>
      <c r="N14" s="7"/>
      <c r="O14" s="7"/>
      <c r="P14" s="7"/>
      <c r="Q14" s="7"/>
      <c r="R14" s="7"/>
      <c r="S14" s="7"/>
      <c r="T14" s="7"/>
      <c r="U14" s="7"/>
      <c r="V14" s="7"/>
      <c r="W14" s="7"/>
    </row>
    <row r="15" spans="1:23" ht="14.4" customHeight="1" x14ac:dyDescent="0.3">
      <c r="A15" s="7"/>
      <c r="B15" s="7"/>
      <c r="C15" s="7"/>
      <c r="D15" s="7"/>
      <c r="E15" s="7"/>
      <c r="F15" s="7"/>
      <c r="G15" s="7"/>
      <c r="H15" s="7"/>
      <c r="I15" s="7"/>
      <c r="J15" s="7"/>
      <c r="K15" s="7"/>
      <c r="L15" s="7"/>
      <c r="M15" s="7"/>
      <c r="N15" s="7"/>
      <c r="O15" s="7"/>
      <c r="P15" s="7"/>
      <c r="Q15" s="7"/>
      <c r="R15" s="7"/>
      <c r="S15" s="7"/>
      <c r="T15" s="7"/>
      <c r="U15" s="7"/>
      <c r="V15" s="7"/>
      <c r="W15" s="7"/>
    </row>
    <row r="16" spans="1:23" ht="14.4" customHeight="1" x14ac:dyDescent="0.3">
      <c r="A16" s="7"/>
      <c r="B16" s="7"/>
      <c r="C16" s="7"/>
      <c r="D16" s="7"/>
      <c r="E16" s="7"/>
      <c r="F16" s="7"/>
      <c r="G16" s="7"/>
      <c r="H16" s="7"/>
      <c r="I16" s="7"/>
      <c r="J16" s="7"/>
      <c r="K16" s="7"/>
      <c r="L16" s="7"/>
      <c r="M16" s="7"/>
      <c r="N16" s="7"/>
      <c r="O16" s="7"/>
      <c r="P16" s="7"/>
      <c r="Q16" s="7"/>
      <c r="R16" s="7"/>
      <c r="S16" s="7"/>
      <c r="T16" s="7"/>
      <c r="U16" s="7"/>
      <c r="V16" s="7"/>
      <c r="W16" s="7"/>
    </row>
    <row r="17" spans="1:23" ht="14.4" customHeight="1" x14ac:dyDescent="0.3">
      <c r="A17" s="7"/>
      <c r="B17" s="7"/>
      <c r="C17" s="7"/>
      <c r="D17" s="7"/>
      <c r="E17" s="7"/>
      <c r="F17" s="7"/>
      <c r="G17" s="7"/>
      <c r="H17" s="7"/>
      <c r="I17" s="7"/>
      <c r="J17" s="7"/>
      <c r="K17" s="7"/>
      <c r="L17" s="7"/>
      <c r="M17" s="7"/>
      <c r="N17" s="7"/>
      <c r="O17" s="7"/>
      <c r="P17" s="7"/>
      <c r="Q17" s="7"/>
      <c r="R17" s="7"/>
      <c r="S17" s="7"/>
      <c r="T17" s="7"/>
      <c r="U17" s="7"/>
      <c r="V17" s="7"/>
      <c r="W17" s="7"/>
    </row>
    <row r="18" spans="1:23" ht="14.4" customHeight="1" x14ac:dyDescent="0.3">
      <c r="A18" s="7"/>
      <c r="B18" s="7"/>
      <c r="C18" s="7"/>
      <c r="D18" s="7"/>
      <c r="E18" s="7"/>
      <c r="F18" s="7"/>
      <c r="G18" s="7"/>
      <c r="H18" s="7"/>
      <c r="I18" s="7"/>
      <c r="J18" s="7"/>
      <c r="K18" s="7"/>
      <c r="L18" s="7"/>
      <c r="M18" s="7"/>
      <c r="N18" s="7"/>
      <c r="O18" s="7"/>
      <c r="P18" s="7"/>
      <c r="Q18" s="7"/>
      <c r="R18" s="7"/>
      <c r="S18" s="7"/>
      <c r="T18" s="7"/>
      <c r="U18" s="7"/>
      <c r="V18" s="7"/>
      <c r="W18" s="7"/>
    </row>
    <row r="19" spans="1:23" ht="14.4" customHeight="1" x14ac:dyDescent="0.3">
      <c r="A19" s="7"/>
      <c r="B19" s="7"/>
      <c r="C19" s="7"/>
      <c r="D19" s="7"/>
      <c r="E19" s="7"/>
      <c r="F19" s="7"/>
      <c r="G19" s="7"/>
      <c r="H19" s="7"/>
      <c r="I19" s="7"/>
      <c r="J19" s="7"/>
      <c r="K19" s="7"/>
      <c r="L19" s="7"/>
      <c r="M19" s="7"/>
      <c r="N19" s="7"/>
      <c r="O19" s="7"/>
      <c r="P19" s="7"/>
      <c r="Q19" s="7"/>
      <c r="R19" s="7"/>
      <c r="S19" s="7"/>
      <c r="T19" s="7"/>
      <c r="U19" s="7"/>
      <c r="V19" s="7"/>
      <c r="W19" s="7"/>
    </row>
    <row r="20" spans="1:23" ht="14.4" customHeight="1" x14ac:dyDescent="0.3">
      <c r="A20" s="7"/>
      <c r="B20" s="7"/>
      <c r="C20" s="7"/>
      <c r="D20" s="7"/>
      <c r="E20" s="7"/>
      <c r="F20" s="7"/>
      <c r="G20" s="7"/>
      <c r="H20" s="7"/>
      <c r="I20" s="7"/>
      <c r="J20" s="7"/>
      <c r="K20" s="7"/>
      <c r="L20" s="7"/>
      <c r="M20" s="7"/>
      <c r="N20" s="7"/>
      <c r="O20" s="7"/>
      <c r="P20" s="7"/>
      <c r="Q20" s="7"/>
      <c r="R20" s="7"/>
      <c r="S20" s="7"/>
      <c r="T20" s="7"/>
      <c r="U20" s="7"/>
      <c r="V20" s="7"/>
      <c r="W20" s="7"/>
    </row>
    <row r="21" spans="1:23" ht="14.4" customHeight="1" x14ac:dyDescent="0.3">
      <c r="A21" s="7"/>
      <c r="B21" s="7"/>
      <c r="C21" s="7"/>
      <c r="D21" s="7"/>
      <c r="E21" s="7"/>
      <c r="F21" s="7"/>
      <c r="G21" s="7"/>
      <c r="H21" s="7"/>
      <c r="I21" s="7"/>
      <c r="J21" s="7"/>
      <c r="K21" s="7"/>
      <c r="L21" s="7"/>
      <c r="M21" s="7"/>
      <c r="N21" s="7"/>
      <c r="O21" s="7"/>
      <c r="P21" s="7"/>
      <c r="Q21" s="7"/>
      <c r="R21" s="7"/>
      <c r="S21" s="7"/>
      <c r="T21" s="7"/>
      <c r="U21" s="7"/>
      <c r="V21" s="7"/>
      <c r="W21" s="7"/>
    </row>
    <row r="22" spans="1:23" ht="14.4" customHeight="1" x14ac:dyDescent="0.3">
      <c r="A22" s="7"/>
      <c r="B22" s="7"/>
      <c r="C22" s="7"/>
      <c r="D22" s="7"/>
      <c r="E22" s="7"/>
      <c r="F22" s="7"/>
      <c r="G22" s="7"/>
      <c r="H22" s="7"/>
      <c r="I22" s="7"/>
      <c r="J22" s="7"/>
      <c r="K22" s="7"/>
      <c r="L22" s="7"/>
      <c r="M22" s="7"/>
      <c r="N22" s="7"/>
      <c r="O22" s="7"/>
      <c r="P22" s="7"/>
      <c r="Q22" s="7"/>
      <c r="R22" s="7"/>
      <c r="S22" s="7"/>
      <c r="T22" s="7"/>
      <c r="U22" s="7"/>
      <c r="V22" s="7"/>
      <c r="W22" s="7"/>
    </row>
    <row r="23" spans="1:23" ht="14.4" customHeight="1" x14ac:dyDescent="0.3">
      <c r="A23" s="7"/>
      <c r="B23" s="7"/>
      <c r="C23" s="7"/>
      <c r="D23" s="7"/>
      <c r="E23" s="7"/>
      <c r="F23" s="7"/>
      <c r="G23" s="7"/>
      <c r="H23" s="7"/>
      <c r="I23" s="7"/>
      <c r="J23" s="7"/>
      <c r="K23" s="7"/>
      <c r="L23" s="7"/>
      <c r="M23" s="7"/>
      <c r="N23" s="7"/>
      <c r="O23" s="7"/>
      <c r="P23" s="7"/>
      <c r="Q23" s="7"/>
      <c r="R23" s="7"/>
      <c r="S23" s="7"/>
      <c r="T23" s="7"/>
      <c r="U23" s="7"/>
      <c r="V23" s="7"/>
      <c r="W23" s="7"/>
    </row>
    <row r="24" spans="1:23" ht="14.4" customHeight="1" x14ac:dyDescent="0.3">
      <c r="A24" s="7"/>
      <c r="B24" s="7"/>
      <c r="C24" s="7"/>
      <c r="D24" s="7"/>
      <c r="E24" s="7"/>
      <c r="F24" s="7"/>
      <c r="G24" s="7"/>
      <c r="H24" s="7"/>
      <c r="I24" s="7"/>
      <c r="J24" s="7"/>
      <c r="K24" s="7"/>
      <c r="L24" s="7"/>
      <c r="M24" s="7"/>
      <c r="N24" s="7"/>
      <c r="O24" s="7"/>
      <c r="P24" s="7"/>
      <c r="Q24" s="7"/>
      <c r="R24" s="7"/>
      <c r="S24" s="7"/>
      <c r="T24" s="7"/>
      <c r="U24" s="7"/>
      <c r="V24" s="7"/>
      <c r="W24" s="7"/>
    </row>
    <row r="25" spans="1:23" ht="14.4" customHeight="1" x14ac:dyDescent="0.3">
      <c r="A25" s="7"/>
      <c r="B25" s="7"/>
      <c r="C25" s="7"/>
      <c r="D25" s="7"/>
      <c r="E25" s="7"/>
      <c r="F25" s="7"/>
      <c r="G25" s="7"/>
      <c r="H25" s="7"/>
      <c r="I25" s="7"/>
      <c r="J25" s="7"/>
      <c r="K25" s="7"/>
      <c r="L25" s="7"/>
      <c r="M25" s="7"/>
      <c r="N25" s="7"/>
      <c r="O25" s="7"/>
      <c r="P25" s="7"/>
      <c r="Q25" s="7"/>
      <c r="R25" s="7"/>
      <c r="S25" s="7"/>
      <c r="T25" s="7"/>
      <c r="U25" s="7"/>
      <c r="V25" s="7"/>
      <c r="W25" s="7"/>
    </row>
    <row r="26" spans="1:23" ht="14.4" customHeight="1" x14ac:dyDescent="0.3">
      <c r="A26" s="7"/>
      <c r="B26" s="7"/>
      <c r="C26" s="7"/>
      <c r="D26" s="7"/>
      <c r="E26" s="7"/>
      <c r="F26" s="7"/>
      <c r="G26" s="7"/>
      <c r="H26" s="7"/>
      <c r="I26" s="7"/>
      <c r="J26" s="7"/>
      <c r="K26" s="7"/>
      <c r="L26" s="7"/>
      <c r="M26" s="7"/>
      <c r="N26" s="7"/>
      <c r="O26" s="7"/>
      <c r="P26" s="7"/>
      <c r="Q26" s="7"/>
      <c r="R26" s="7"/>
      <c r="S26" s="7"/>
      <c r="T26" s="7"/>
      <c r="U26" s="7"/>
      <c r="V26" s="7"/>
      <c r="W26" s="7"/>
    </row>
    <row r="27" spans="1:23" ht="14.4" customHeight="1" x14ac:dyDescent="0.3">
      <c r="A27" s="7"/>
      <c r="B27" s="7"/>
      <c r="C27" s="7"/>
      <c r="D27" s="7"/>
      <c r="E27" s="7"/>
      <c r="F27" s="7"/>
      <c r="G27" s="7"/>
      <c r="H27" s="7"/>
      <c r="I27" s="7"/>
      <c r="J27" s="7"/>
      <c r="K27" s="7"/>
      <c r="L27" s="7"/>
      <c r="M27" s="7"/>
      <c r="N27" s="7"/>
      <c r="O27" s="7"/>
      <c r="P27" s="7"/>
      <c r="Q27" s="7"/>
      <c r="R27" s="7"/>
      <c r="S27" s="7"/>
      <c r="T27" s="7"/>
      <c r="U27" s="7"/>
      <c r="V27" s="7"/>
      <c r="W27" s="7"/>
    </row>
    <row r="28" spans="1:23" ht="14.4" customHeight="1" x14ac:dyDescent="0.3">
      <c r="A28" s="7"/>
      <c r="B28" s="7"/>
      <c r="C28" s="7"/>
      <c r="D28" s="7"/>
      <c r="E28" s="7"/>
      <c r="F28" s="7"/>
      <c r="G28" s="7"/>
      <c r="H28" s="7"/>
      <c r="I28" s="7"/>
      <c r="J28" s="7"/>
      <c r="K28" s="7"/>
      <c r="L28" s="7"/>
      <c r="M28" s="7"/>
      <c r="N28" s="7"/>
      <c r="O28" s="7"/>
      <c r="P28" s="7"/>
      <c r="Q28" s="7"/>
      <c r="R28" s="7"/>
      <c r="S28" s="7"/>
      <c r="T28" s="7"/>
      <c r="U28" s="7"/>
      <c r="V28" s="7"/>
      <c r="W28" s="7"/>
    </row>
    <row r="29" spans="1:23" ht="14.4" customHeight="1" x14ac:dyDescent="0.3">
      <c r="A29" s="7"/>
      <c r="B29" s="7"/>
      <c r="C29" s="7"/>
      <c r="D29" s="7"/>
      <c r="E29" s="7"/>
      <c r="F29" s="7"/>
      <c r="G29" s="7"/>
      <c r="H29" s="7"/>
      <c r="I29" s="7"/>
      <c r="J29" s="7"/>
      <c r="K29" s="7"/>
      <c r="L29" s="7"/>
      <c r="M29" s="7"/>
      <c r="N29" s="7"/>
      <c r="O29" s="7"/>
      <c r="P29" s="7"/>
      <c r="Q29" s="7"/>
      <c r="R29" s="7"/>
      <c r="S29" s="7"/>
      <c r="T29" s="7"/>
      <c r="U29" s="7"/>
      <c r="V29" s="7"/>
      <c r="W29" s="7"/>
    </row>
    <row r="30" spans="1:23" ht="14.4" customHeight="1" x14ac:dyDescent="0.3">
      <c r="A30" s="7"/>
      <c r="B30" s="7"/>
      <c r="C30" s="7"/>
      <c r="D30" s="7"/>
      <c r="E30" s="7"/>
      <c r="F30" s="7"/>
      <c r="G30" s="7"/>
      <c r="H30" s="7"/>
      <c r="I30" s="7"/>
      <c r="J30" s="7"/>
      <c r="K30" s="7"/>
      <c r="L30" s="7"/>
      <c r="M30" s="7"/>
      <c r="N30" s="7"/>
      <c r="O30" s="7"/>
      <c r="P30" s="7"/>
      <c r="Q30" s="7"/>
      <c r="R30" s="7"/>
      <c r="S30" s="7"/>
      <c r="T30" s="7"/>
      <c r="U30" s="7"/>
      <c r="V30" s="7"/>
      <c r="W30" s="7"/>
    </row>
    <row r="31" spans="1:23" ht="14.4" customHeight="1" x14ac:dyDescent="0.3">
      <c r="A31" s="7"/>
      <c r="B31" s="7"/>
      <c r="C31" s="7"/>
      <c r="D31" s="7"/>
      <c r="E31" s="7"/>
      <c r="F31" s="7"/>
      <c r="G31" s="7"/>
      <c r="H31" s="7"/>
      <c r="I31" s="7"/>
      <c r="J31" s="7"/>
      <c r="K31" s="7"/>
      <c r="L31" s="7"/>
      <c r="M31" s="7"/>
      <c r="N31" s="7"/>
      <c r="O31" s="7"/>
      <c r="P31" s="7"/>
      <c r="Q31" s="7"/>
      <c r="R31" s="7"/>
      <c r="S31" s="7"/>
      <c r="T31" s="7"/>
      <c r="U31" s="7"/>
      <c r="V31" s="7"/>
      <c r="W31" s="7"/>
    </row>
    <row r="32" spans="1:23" ht="14.4" customHeight="1" x14ac:dyDescent="0.3">
      <c r="A32" s="7"/>
      <c r="B32" s="7"/>
      <c r="C32" s="7"/>
      <c r="D32" s="7"/>
      <c r="E32" s="7"/>
      <c r="F32" s="7"/>
      <c r="G32" s="7"/>
      <c r="H32" s="7"/>
      <c r="I32" s="7"/>
      <c r="J32" s="7"/>
      <c r="K32" s="7"/>
      <c r="L32" s="7"/>
      <c r="M32" s="7"/>
      <c r="N32" s="7"/>
      <c r="O32" s="7"/>
      <c r="P32" s="7"/>
      <c r="Q32" s="7"/>
      <c r="R32" s="7"/>
      <c r="S32" s="7"/>
      <c r="T32" s="7"/>
      <c r="U32" s="7"/>
      <c r="V32" s="7"/>
      <c r="W32" s="7"/>
    </row>
    <row r="33" spans="1:23" ht="14.4" customHeight="1" x14ac:dyDescent="0.3">
      <c r="A33" s="7"/>
      <c r="B33" s="7"/>
      <c r="C33" s="7"/>
      <c r="D33" s="7"/>
      <c r="E33" s="7"/>
      <c r="F33" s="7"/>
      <c r="G33" s="7"/>
      <c r="H33" s="7"/>
      <c r="I33" s="7"/>
      <c r="J33" s="7"/>
      <c r="K33" s="7"/>
      <c r="L33" s="7"/>
      <c r="M33" s="7"/>
      <c r="N33" s="7"/>
      <c r="O33" s="7"/>
      <c r="P33" s="7"/>
      <c r="Q33" s="7"/>
      <c r="R33" s="7"/>
      <c r="S33" s="7"/>
      <c r="T33" s="7"/>
      <c r="U33" s="7"/>
      <c r="V33" s="7"/>
      <c r="W33" s="7"/>
    </row>
    <row r="34" spans="1:23" ht="14.4" customHeight="1" x14ac:dyDescent="0.3">
      <c r="A34" s="7"/>
      <c r="B34" s="7"/>
      <c r="C34" s="7"/>
      <c r="D34" s="7"/>
      <c r="E34" s="7"/>
      <c r="F34" s="7"/>
      <c r="G34" s="7"/>
      <c r="H34" s="7"/>
      <c r="I34" s="7"/>
      <c r="J34" s="7"/>
      <c r="K34" s="7"/>
      <c r="L34" s="7"/>
      <c r="M34" s="7"/>
      <c r="N34" s="7"/>
      <c r="O34" s="7"/>
      <c r="P34" s="7"/>
      <c r="Q34" s="7"/>
      <c r="R34" s="7"/>
      <c r="S34" s="7"/>
      <c r="T34" s="7"/>
      <c r="U34" s="7"/>
      <c r="V34" s="7"/>
      <c r="W34" s="7"/>
    </row>
    <row r="35" spans="1:23" x14ac:dyDescent="0.3">
      <c r="A35" s="7"/>
      <c r="B35" s="7"/>
      <c r="C35" s="7"/>
      <c r="D35" s="7"/>
      <c r="E35" s="7"/>
      <c r="F35" s="7"/>
      <c r="G35" s="7"/>
      <c r="H35" s="7"/>
      <c r="I35" s="7"/>
      <c r="J35" s="7"/>
      <c r="K35" s="7"/>
      <c r="L35" s="7"/>
      <c r="M35" s="7"/>
      <c r="N35" s="7"/>
      <c r="O35" s="7"/>
      <c r="P35" s="7"/>
      <c r="Q35" s="7"/>
      <c r="R35" s="7"/>
      <c r="S35" s="7"/>
      <c r="T35" s="7"/>
      <c r="U35" s="7"/>
      <c r="V35" s="7"/>
      <c r="W35" s="7"/>
    </row>
    <row r="36" spans="1:23" ht="14.4" customHeight="1" x14ac:dyDescent="0.3">
      <c r="A36" s="7"/>
      <c r="B36" s="7"/>
      <c r="C36" s="7"/>
      <c r="D36" s="7"/>
      <c r="E36" s="7"/>
      <c r="F36" s="7"/>
      <c r="G36" s="7"/>
      <c r="H36" s="7"/>
      <c r="I36" s="7"/>
      <c r="J36" s="7"/>
      <c r="K36" s="7"/>
      <c r="L36" s="7"/>
      <c r="M36" s="7"/>
      <c r="N36" s="7"/>
      <c r="O36" s="7"/>
      <c r="P36" s="7"/>
      <c r="Q36" s="7"/>
      <c r="R36" s="7"/>
      <c r="S36" s="7"/>
      <c r="T36" s="7"/>
      <c r="U36" s="7"/>
      <c r="V36" s="7"/>
      <c r="W36" s="7"/>
    </row>
    <row r="37" spans="1:23" ht="14.4" customHeight="1" x14ac:dyDescent="0.3">
      <c r="A37" s="7"/>
      <c r="B37" s="7"/>
      <c r="C37" s="7"/>
      <c r="D37" s="7"/>
      <c r="E37" s="7"/>
      <c r="F37" s="7"/>
      <c r="G37" s="7"/>
      <c r="H37" s="7"/>
      <c r="I37" s="7"/>
      <c r="J37" s="7"/>
      <c r="K37" s="7"/>
      <c r="L37" s="7"/>
      <c r="M37" s="7"/>
      <c r="N37" s="7"/>
      <c r="O37" s="7"/>
      <c r="P37" s="7"/>
      <c r="Q37" s="7"/>
      <c r="R37" s="7"/>
      <c r="S37" s="7"/>
      <c r="T37" s="7"/>
      <c r="U37" s="7"/>
      <c r="V37" s="7"/>
      <c r="W37" s="7"/>
    </row>
    <row r="38" spans="1:23" ht="14.4" customHeight="1" x14ac:dyDescent="0.3">
      <c r="A38" s="7"/>
      <c r="B38" s="7"/>
      <c r="C38" s="7"/>
      <c r="D38" s="7"/>
      <c r="E38" s="7"/>
      <c r="F38" s="7"/>
      <c r="G38" s="7"/>
      <c r="H38" s="7"/>
      <c r="I38" s="7"/>
      <c r="J38" s="7"/>
      <c r="K38" s="7"/>
      <c r="L38" s="7"/>
      <c r="M38" s="7"/>
      <c r="N38" s="7"/>
      <c r="O38" s="7"/>
      <c r="P38" s="7"/>
      <c r="Q38" s="7"/>
      <c r="R38" s="7"/>
      <c r="S38" s="7"/>
      <c r="T38" s="7"/>
      <c r="U38" s="7"/>
      <c r="V38" s="7"/>
      <c r="W38" s="7"/>
    </row>
    <row r="39" spans="1:23" ht="14.4" customHeight="1" x14ac:dyDescent="0.3">
      <c r="A39" s="7"/>
      <c r="B39" s="7"/>
      <c r="C39" s="7"/>
      <c r="D39" s="7"/>
      <c r="E39" s="7"/>
      <c r="F39" s="7"/>
      <c r="G39" s="7"/>
      <c r="H39" s="7"/>
      <c r="I39" s="7"/>
      <c r="J39" s="7"/>
      <c r="K39" s="7"/>
      <c r="L39" s="7"/>
      <c r="M39" s="7"/>
      <c r="N39" s="7"/>
      <c r="O39" s="7"/>
      <c r="P39" s="7"/>
      <c r="Q39" s="7"/>
      <c r="R39" s="7"/>
      <c r="S39" s="7"/>
      <c r="T39" s="7"/>
      <c r="U39" s="7"/>
      <c r="V39" s="7"/>
      <c r="W39" s="7"/>
    </row>
    <row r="40" spans="1:23" ht="14.4" customHeight="1" x14ac:dyDescent="0.3">
      <c r="A40" s="7"/>
      <c r="B40" s="7"/>
      <c r="C40" s="7"/>
      <c r="D40" s="7"/>
      <c r="E40" s="7"/>
      <c r="F40" s="7"/>
      <c r="G40" s="7"/>
      <c r="H40" s="7"/>
      <c r="I40" s="7"/>
      <c r="J40" s="7"/>
      <c r="K40" s="7"/>
      <c r="L40" s="7"/>
      <c r="M40" s="7"/>
      <c r="N40" s="7"/>
      <c r="O40" s="7"/>
      <c r="P40" s="7"/>
      <c r="Q40" s="7"/>
      <c r="R40" s="7"/>
      <c r="S40" s="7"/>
      <c r="T40" s="7"/>
      <c r="U40" s="7"/>
      <c r="V40" s="7"/>
      <c r="W40" s="7"/>
    </row>
    <row r="41" spans="1:23" ht="14.4" customHeight="1" x14ac:dyDescent="0.3">
      <c r="A41" s="7"/>
      <c r="B41" s="7"/>
      <c r="C41" s="7"/>
      <c r="D41" s="7"/>
      <c r="E41" s="7"/>
      <c r="F41" s="7"/>
      <c r="G41" s="7"/>
      <c r="H41" s="7"/>
      <c r="I41" s="7"/>
      <c r="J41" s="7"/>
      <c r="K41" s="7"/>
      <c r="L41" s="7"/>
      <c r="M41" s="7"/>
      <c r="N41" s="7"/>
      <c r="O41" s="7"/>
      <c r="P41" s="7"/>
      <c r="Q41" s="7"/>
      <c r="R41" s="7"/>
      <c r="S41" s="7"/>
      <c r="T41" s="7"/>
      <c r="U41" s="7"/>
      <c r="V41" s="7"/>
      <c r="W41" s="7"/>
    </row>
    <row r="42" spans="1:23" ht="14.4" customHeight="1" x14ac:dyDescent="0.3">
      <c r="A42" s="7"/>
      <c r="B42" s="7"/>
      <c r="C42" s="7"/>
      <c r="D42" s="7"/>
      <c r="E42" s="7"/>
      <c r="F42" s="7"/>
      <c r="G42" s="7"/>
      <c r="H42" s="7"/>
      <c r="I42" s="7"/>
      <c r="J42" s="7"/>
      <c r="K42" s="7"/>
      <c r="L42" s="7"/>
      <c r="M42" s="7"/>
      <c r="N42" s="7"/>
      <c r="O42" s="7"/>
      <c r="P42" s="7"/>
      <c r="Q42" s="7"/>
      <c r="R42" s="7"/>
      <c r="S42" s="7"/>
      <c r="T42" s="7"/>
      <c r="U42" s="7"/>
      <c r="V42" s="7"/>
      <c r="W42" s="7"/>
    </row>
    <row r="43" spans="1:23" ht="14.4" customHeight="1" x14ac:dyDescent="0.3">
      <c r="A43" s="7"/>
      <c r="B43" s="7"/>
      <c r="C43" s="7"/>
      <c r="D43" s="7"/>
      <c r="E43" s="7"/>
      <c r="F43" s="7"/>
      <c r="G43" s="7"/>
      <c r="H43" s="7"/>
      <c r="I43" s="7"/>
      <c r="J43" s="7"/>
      <c r="K43" s="7"/>
      <c r="L43" s="7"/>
      <c r="M43" s="7"/>
      <c r="N43" s="7"/>
      <c r="O43" s="7"/>
      <c r="P43" s="7"/>
      <c r="Q43" s="7"/>
      <c r="R43" s="7"/>
      <c r="S43" s="7"/>
      <c r="T43" s="7"/>
      <c r="U43" s="7"/>
      <c r="V43" s="7"/>
      <c r="W43" s="7"/>
    </row>
    <row r="44" spans="1:23" ht="14.4" customHeight="1" x14ac:dyDescent="0.3">
      <c r="A44" s="7"/>
      <c r="B44" s="7"/>
      <c r="C44" s="7"/>
      <c r="D44" s="7"/>
      <c r="E44" s="7"/>
      <c r="F44" s="7"/>
      <c r="G44" s="7"/>
      <c r="H44" s="7"/>
      <c r="I44" s="7"/>
      <c r="J44" s="7"/>
      <c r="K44" s="7"/>
      <c r="L44" s="7"/>
      <c r="M44" s="7"/>
      <c r="N44" s="7"/>
      <c r="O44" s="7"/>
      <c r="P44" s="7"/>
      <c r="Q44" s="7"/>
      <c r="R44" s="7"/>
      <c r="S44" s="7"/>
      <c r="T44" s="7"/>
      <c r="U44" s="7"/>
      <c r="V44" s="7"/>
      <c r="W44" s="7"/>
    </row>
    <row r="45" spans="1:23" ht="14.4" customHeight="1" x14ac:dyDescent="0.3">
      <c r="A45" s="7"/>
      <c r="B45" s="7"/>
      <c r="C45" s="7"/>
      <c r="D45" s="7"/>
      <c r="E45" s="7"/>
      <c r="F45" s="7"/>
      <c r="G45" s="7"/>
      <c r="H45" s="7"/>
      <c r="I45" s="7"/>
      <c r="J45" s="7"/>
      <c r="K45" s="7"/>
      <c r="L45" s="7"/>
      <c r="M45" s="7"/>
      <c r="N45" s="7"/>
      <c r="O45" s="7"/>
      <c r="P45" s="7"/>
      <c r="Q45" s="7"/>
      <c r="R45" s="7"/>
      <c r="S45" s="7"/>
      <c r="T45" s="7"/>
      <c r="U45" s="7"/>
      <c r="V45" s="7"/>
      <c r="W45" s="7"/>
    </row>
    <row r="46" spans="1:23" ht="14.4" customHeight="1" x14ac:dyDescent="0.3">
      <c r="A46" s="7"/>
      <c r="B46" s="7"/>
      <c r="C46" s="7"/>
      <c r="D46" s="7"/>
      <c r="E46" s="7"/>
      <c r="F46" s="7"/>
      <c r="G46" s="7"/>
      <c r="H46" s="7"/>
      <c r="I46" s="7"/>
      <c r="J46" s="7"/>
      <c r="K46" s="7"/>
      <c r="L46" s="7"/>
      <c r="M46" s="7"/>
      <c r="N46" s="7"/>
      <c r="O46" s="7"/>
      <c r="P46" s="7"/>
      <c r="Q46" s="7"/>
      <c r="R46" s="7"/>
      <c r="S46" s="7"/>
      <c r="T46" s="7"/>
      <c r="U46" s="7"/>
      <c r="V46" s="7"/>
      <c r="W46" s="7"/>
    </row>
    <row r="47" spans="1:23" ht="14.4" customHeight="1" x14ac:dyDescent="0.3">
      <c r="A47" s="7"/>
      <c r="B47" s="7"/>
      <c r="C47" s="7"/>
      <c r="D47" s="7"/>
      <c r="E47" s="7"/>
      <c r="F47" s="7"/>
      <c r="G47" s="7"/>
      <c r="H47" s="7"/>
      <c r="I47" s="7"/>
      <c r="J47" s="7"/>
      <c r="K47" s="7"/>
      <c r="L47" s="7"/>
      <c r="M47" s="7"/>
      <c r="N47" s="7"/>
      <c r="O47" s="7"/>
      <c r="P47" s="7"/>
      <c r="Q47" s="7"/>
      <c r="R47" s="7"/>
      <c r="S47" s="7"/>
      <c r="T47" s="7"/>
      <c r="U47" s="7"/>
      <c r="V47" s="7"/>
      <c r="W47" s="7"/>
    </row>
    <row r="48" spans="1:23" ht="14.4" customHeight="1" x14ac:dyDescent="0.3">
      <c r="A48" s="7"/>
      <c r="B48" s="7"/>
      <c r="C48" s="7"/>
      <c r="D48" s="7"/>
      <c r="E48" s="7"/>
      <c r="F48" s="7"/>
      <c r="G48" s="7"/>
      <c r="H48" s="7"/>
      <c r="I48" s="7"/>
      <c r="J48" s="7"/>
      <c r="K48" s="7"/>
      <c r="L48" s="7"/>
      <c r="M48" s="7"/>
      <c r="N48" s="7"/>
      <c r="O48" s="7"/>
      <c r="P48" s="7"/>
      <c r="Q48" s="7"/>
      <c r="R48" s="7"/>
      <c r="S48" s="7"/>
      <c r="T48" s="7"/>
      <c r="U48" s="7"/>
      <c r="V48" s="7"/>
      <c r="W48" s="7"/>
    </row>
    <row r="49" spans="1:23" ht="14.4" customHeight="1" x14ac:dyDescent="0.3">
      <c r="A49" s="7"/>
      <c r="B49" s="7"/>
      <c r="C49" s="7"/>
      <c r="D49" s="7"/>
      <c r="E49" s="7"/>
      <c r="F49" s="7"/>
      <c r="G49" s="7"/>
      <c r="H49" s="7"/>
      <c r="I49" s="7"/>
      <c r="J49" s="7"/>
      <c r="K49" s="7"/>
      <c r="L49" s="7"/>
      <c r="M49" s="7"/>
      <c r="N49" s="7"/>
      <c r="O49" s="7"/>
      <c r="P49" s="7"/>
      <c r="Q49" s="7"/>
      <c r="R49" s="7"/>
      <c r="S49" s="7"/>
      <c r="T49" s="7"/>
      <c r="U49" s="7"/>
      <c r="V49" s="7"/>
      <c r="W49" s="7"/>
    </row>
    <row r="50" spans="1:23" ht="14.4" customHeight="1" x14ac:dyDescent="0.3">
      <c r="A50" s="7"/>
      <c r="B50" s="7"/>
      <c r="C50" s="7"/>
      <c r="D50" s="7"/>
      <c r="E50" s="7"/>
      <c r="F50" s="7"/>
      <c r="G50" s="7"/>
      <c r="H50" s="7"/>
      <c r="I50" s="7"/>
      <c r="J50" s="7"/>
      <c r="K50" s="7"/>
      <c r="L50" s="7"/>
      <c r="M50" s="7"/>
      <c r="N50" s="7"/>
      <c r="O50" s="7"/>
      <c r="P50" s="7"/>
      <c r="Q50" s="7"/>
      <c r="R50" s="7"/>
      <c r="S50" s="7"/>
      <c r="T50" s="7"/>
      <c r="U50" s="7"/>
      <c r="V50" s="7"/>
      <c r="W50" s="7"/>
    </row>
    <row r="51" spans="1:23" ht="14.4" customHeight="1" x14ac:dyDescent="0.3">
      <c r="A51" s="7"/>
      <c r="B51" s="7"/>
      <c r="C51" s="7"/>
      <c r="D51" s="7"/>
      <c r="E51" s="7"/>
      <c r="F51" s="7"/>
      <c r="G51" s="7"/>
      <c r="H51" s="7"/>
      <c r="I51" s="7"/>
      <c r="J51" s="7"/>
      <c r="K51" s="7"/>
      <c r="L51" s="7"/>
      <c r="M51" s="7"/>
      <c r="N51" s="7"/>
      <c r="O51" s="7"/>
      <c r="P51" s="7"/>
      <c r="Q51" s="7"/>
      <c r="R51" s="7"/>
      <c r="S51" s="7"/>
      <c r="T51" s="7"/>
      <c r="U51" s="7"/>
      <c r="V51" s="7"/>
      <c r="W51" s="7"/>
    </row>
    <row r="52" spans="1:23" ht="14.4" customHeight="1" x14ac:dyDescent="0.3">
      <c r="A52" s="7"/>
      <c r="B52" s="7"/>
      <c r="C52" s="7"/>
      <c r="D52" s="7"/>
      <c r="E52" s="7"/>
      <c r="F52" s="7"/>
      <c r="G52" s="7"/>
      <c r="H52" s="7"/>
      <c r="I52" s="7"/>
      <c r="J52" s="7"/>
      <c r="K52" s="7"/>
      <c r="L52" s="7"/>
      <c r="M52" s="7"/>
      <c r="N52" s="7"/>
      <c r="O52" s="7"/>
      <c r="P52" s="7"/>
      <c r="Q52" s="7"/>
      <c r="R52" s="7"/>
      <c r="S52" s="7"/>
      <c r="T52" s="7"/>
      <c r="U52" s="7"/>
      <c r="V52" s="7"/>
      <c r="W52" s="7"/>
    </row>
    <row r="53" spans="1:23" ht="14.4" customHeight="1" x14ac:dyDescent="0.3">
      <c r="A53" s="7"/>
      <c r="B53" s="7"/>
      <c r="C53" s="7"/>
      <c r="D53" s="7"/>
      <c r="E53" s="7"/>
      <c r="F53" s="7"/>
      <c r="G53" s="7"/>
      <c r="H53" s="7"/>
      <c r="I53" s="7"/>
      <c r="J53" s="7"/>
      <c r="K53" s="7"/>
      <c r="L53" s="7"/>
      <c r="M53" s="7"/>
      <c r="N53" s="7"/>
      <c r="O53" s="7"/>
      <c r="P53" s="7"/>
      <c r="Q53" s="7"/>
      <c r="R53" s="7"/>
      <c r="S53" s="7"/>
      <c r="T53" s="7"/>
      <c r="U53" s="7"/>
      <c r="V53" s="7"/>
      <c r="W53" s="7"/>
    </row>
    <row r="54" spans="1:23" ht="14.4" customHeight="1" x14ac:dyDescent="0.3">
      <c r="A54" s="7"/>
      <c r="B54" s="7"/>
      <c r="C54" s="7"/>
      <c r="D54" s="7"/>
      <c r="E54" s="7"/>
      <c r="F54" s="7"/>
      <c r="G54" s="7"/>
      <c r="H54" s="7"/>
      <c r="I54" s="7"/>
      <c r="J54" s="7"/>
      <c r="K54" s="7"/>
      <c r="L54" s="7"/>
      <c r="M54" s="7"/>
      <c r="N54" s="7"/>
      <c r="O54" s="7"/>
      <c r="P54" s="7"/>
      <c r="Q54" s="7"/>
      <c r="R54" s="7"/>
      <c r="S54" s="7"/>
      <c r="T54" s="7"/>
      <c r="U54" s="7"/>
      <c r="V54" s="7"/>
      <c r="W54" s="7"/>
    </row>
    <row r="55" spans="1:23" ht="14.4" customHeight="1" x14ac:dyDescent="0.3">
      <c r="A55" s="7"/>
      <c r="B55" s="7"/>
      <c r="C55" s="7"/>
      <c r="D55" s="7"/>
      <c r="E55" s="7"/>
      <c r="F55" s="7"/>
      <c r="G55" s="7"/>
      <c r="H55" s="7"/>
      <c r="I55" s="7"/>
      <c r="J55" s="7"/>
      <c r="K55" s="7"/>
      <c r="L55" s="7"/>
      <c r="M55" s="7"/>
      <c r="N55" s="7"/>
      <c r="O55" s="7"/>
      <c r="P55" s="7"/>
      <c r="Q55" s="7"/>
      <c r="R55" s="7"/>
      <c r="S55" s="7"/>
      <c r="T55" s="7"/>
      <c r="U55" s="7"/>
      <c r="V55" s="7"/>
      <c r="W55" s="7"/>
    </row>
    <row r="56" spans="1:23" ht="14.4" customHeight="1" x14ac:dyDescent="0.3">
      <c r="A56" s="7"/>
      <c r="B56" s="7"/>
      <c r="C56" s="7"/>
      <c r="D56" s="7"/>
      <c r="E56" s="7"/>
      <c r="F56" s="7"/>
      <c r="G56" s="7"/>
      <c r="H56" s="7"/>
      <c r="I56" s="7"/>
      <c r="J56" s="7"/>
      <c r="K56" s="7"/>
      <c r="L56" s="7"/>
      <c r="M56" s="7"/>
      <c r="N56" s="7"/>
      <c r="O56" s="7"/>
      <c r="P56" s="7"/>
      <c r="Q56" s="7"/>
      <c r="R56" s="7"/>
      <c r="S56" s="7"/>
      <c r="T56" s="7"/>
      <c r="U56" s="7"/>
      <c r="V56" s="7"/>
      <c r="W56" s="7"/>
    </row>
    <row r="57" spans="1:23" x14ac:dyDescent="0.3">
      <c r="A57" s="7"/>
      <c r="B57" s="7"/>
      <c r="C57" s="7"/>
      <c r="D57" s="7"/>
      <c r="E57" s="7"/>
      <c r="F57" s="7"/>
      <c r="G57" s="7"/>
      <c r="H57" s="7"/>
      <c r="I57" s="7"/>
      <c r="J57" s="7"/>
      <c r="K57" s="7"/>
      <c r="L57" s="7"/>
      <c r="M57" s="7"/>
      <c r="N57" s="7"/>
      <c r="O57" s="7"/>
      <c r="P57" s="7"/>
      <c r="Q57" s="7"/>
      <c r="R57" s="7"/>
      <c r="S57" s="7"/>
      <c r="T57" s="7"/>
      <c r="U57" s="7"/>
      <c r="V57" s="7"/>
      <c r="W57" s="7"/>
    </row>
  </sheetData>
  <mergeCells count="3">
    <mergeCell ref="A5:S57"/>
    <mergeCell ref="T1:W57"/>
    <mergeCell ref="I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1"/>
  <sheetViews>
    <sheetView tabSelected="1" topLeftCell="F1" workbookViewId="0">
      <selection activeCell="G4" sqref="G4"/>
    </sheetView>
  </sheetViews>
  <sheetFormatPr defaultRowHeight="14.4" x14ac:dyDescent="0.3"/>
  <cols>
    <col min="2" max="2" width="15.5546875" bestFit="1" customWidth="1"/>
    <col min="9" max="9" width="13.44140625" style="1" bestFit="1" customWidth="1"/>
  </cols>
  <sheetData>
    <row r="1" spans="1:9" x14ac:dyDescent="0.3">
      <c r="A1" t="s">
        <v>39</v>
      </c>
      <c r="B1" t="s">
        <v>5</v>
      </c>
      <c r="C1" t="s">
        <v>0</v>
      </c>
      <c r="D1" t="s">
        <v>2</v>
      </c>
      <c r="E1" t="s">
        <v>40</v>
      </c>
      <c r="F1" t="s">
        <v>41</v>
      </c>
      <c r="G1" t="s">
        <v>42</v>
      </c>
      <c r="H1" t="s">
        <v>43</v>
      </c>
      <c r="I1" s="1" t="s">
        <v>44</v>
      </c>
    </row>
    <row r="2" spans="1:9" x14ac:dyDescent="0.3">
      <c r="A2" t="s">
        <v>45</v>
      </c>
      <c r="B2" t="s">
        <v>11</v>
      </c>
      <c r="C2" t="s">
        <v>6</v>
      </c>
      <c r="D2" t="s">
        <v>7</v>
      </c>
      <c r="E2">
        <v>26</v>
      </c>
      <c r="F2">
        <v>24</v>
      </c>
      <c r="G2">
        <v>1</v>
      </c>
      <c r="H2">
        <v>1</v>
      </c>
      <c r="I2" s="1">
        <f xml:space="preserve"> F2/E2</f>
        <v>0.92307692307692313</v>
      </c>
    </row>
    <row r="3" spans="1:9" x14ac:dyDescent="0.3">
      <c r="A3" t="s">
        <v>46</v>
      </c>
      <c r="B3" t="s">
        <v>30</v>
      </c>
      <c r="C3" t="s">
        <v>9</v>
      </c>
      <c r="D3" t="s">
        <v>7</v>
      </c>
      <c r="E3">
        <v>26</v>
      </c>
      <c r="F3">
        <v>24</v>
      </c>
      <c r="G3">
        <v>1</v>
      </c>
      <c r="H3">
        <v>1</v>
      </c>
      <c r="I3" s="1">
        <f t="shared" ref="I3:I66" si="0" xml:space="preserve"> F3/E3</f>
        <v>0.92307692307692313</v>
      </c>
    </row>
    <row r="4" spans="1:9" x14ac:dyDescent="0.3">
      <c r="A4" t="s">
        <v>47</v>
      </c>
      <c r="B4" t="s">
        <v>31</v>
      </c>
      <c r="C4" t="s">
        <v>9</v>
      </c>
      <c r="D4" t="s">
        <v>7</v>
      </c>
      <c r="E4">
        <v>26</v>
      </c>
      <c r="F4">
        <v>21</v>
      </c>
      <c r="G4">
        <v>3</v>
      </c>
      <c r="H4">
        <v>2</v>
      </c>
      <c r="I4" s="1">
        <f t="shared" si="0"/>
        <v>0.80769230769230771</v>
      </c>
    </row>
    <row r="5" spans="1:9" x14ac:dyDescent="0.3">
      <c r="A5" t="s">
        <v>48</v>
      </c>
      <c r="B5" t="s">
        <v>27</v>
      </c>
      <c r="C5" t="s">
        <v>12</v>
      </c>
      <c r="D5" t="s">
        <v>7</v>
      </c>
      <c r="E5">
        <v>26</v>
      </c>
      <c r="F5">
        <v>26</v>
      </c>
      <c r="G5">
        <v>0</v>
      </c>
      <c r="H5">
        <v>0</v>
      </c>
      <c r="I5" s="1">
        <f t="shared" si="0"/>
        <v>1</v>
      </c>
    </row>
    <row r="6" spans="1:9" x14ac:dyDescent="0.3">
      <c r="A6" t="s">
        <v>49</v>
      </c>
      <c r="B6" t="s">
        <v>33</v>
      </c>
      <c r="C6" t="s">
        <v>18</v>
      </c>
      <c r="D6" t="s">
        <v>7</v>
      </c>
      <c r="E6">
        <v>26</v>
      </c>
      <c r="F6">
        <v>24</v>
      </c>
      <c r="G6">
        <v>2</v>
      </c>
      <c r="H6">
        <v>0</v>
      </c>
      <c r="I6" s="1">
        <f t="shared" si="0"/>
        <v>0.92307692307692313</v>
      </c>
    </row>
    <row r="7" spans="1:9" x14ac:dyDescent="0.3">
      <c r="A7" t="s">
        <v>50</v>
      </c>
      <c r="B7" t="s">
        <v>14</v>
      </c>
      <c r="C7" t="s">
        <v>9</v>
      </c>
      <c r="D7" t="s">
        <v>7</v>
      </c>
      <c r="E7">
        <v>26</v>
      </c>
      <c r="F7">
        <v>23</v>
      </c>
      <c r="G7">
        <v>3</v>
      </c>
      <c r="H7">
        <v>0</v>
      </c>
      <c r="I7" s="1">
        <f t="shared" si="0"/>
        <v>0.88461538461538458</v>
      </c>
    </row>
    <row r="8" spans="1:9" x14ac:dyDescent="0.3">
      <c r="A8" t="s">
        <v>51</v>
      </c>
      <c r="B8" t="s">
        <v>23</v>
      </c>
      <c r="C8" t="s">
        <v>12</v>
      </c>
      <c r="D8" t="s">
        <v>7</v>
      </c>
      <c r="E8">
        <v>26</v>
      </c>
      <c r="F8">
        <v>26</v>
      </c>
      <c r="G8">
        <v>0</v>
      </c>
      <c r="H8">
        <v>0</v>
      </c>
      <c r="I8" s="1">
        <f t="shared" si="0"/>
        <v>1</v>
      </c>
    </row>
    <row r="9" spans="1:9" x14ac:dyDescent="0.3">
      <c r="A9" t="s">
        <v>52</v>
      </c>
      <c r="B9" t="s">
        <v>36</v>
      </c>
      <c r="C9" t="s">
        <v>6</v>
      </c>
      <c r="D9" t="s">
        <v>7</v>
      </c>
      <c r="E9">
        <v>26</v>
      </c>
      <c r="F9">
        <v>26</v>
      </c>
      <c r="G9">
        <v>0</v>
      </c>
      <c r="H9">
        <v>0</v>
      </c>
      <c r="I9" s="1">
        <f t="shared" si="0"/>
        <v>1</v>
      </c>
    </row>
    <row r="10" spans="1:9" x14ac:dyDescent="0.3">
      <c r="A10" t="s">
        <v>53</v>
      </c>
      <c r="B10" t="s">
        <v>37</v>
      </c>
      <c r="C10" t="s">
        <v>15</v>
      </c>
      <c r="D10" t="s">
        <v>7</v>
      </c>
      <c r="E10">
        <v>26</v>
      </c>
      <c r="F10">
        <v>21</v>
      </c>
      <c r="G10">
        <v>3</v>
      </c>
      <c r="H10">
        <v>2</v>
      </c>
      <c r="I10" s="1">
        <f t="shared" si="0"/>
        <v>0.80769230769230771</v>
      </c>
    </row>
    <row r="11" spans="1:9" x14ac:dyDescent="0.3">
      <c r="A11" t="s">
        <v>54</v>
      </c>
      <c r="B11" t="s">
        <v>29</v>
      </c>
      <c r="C11" t="s">
        <v>9</v>
      </c>
      <c r="D11" t="s">
        <v>7</v>
      </c>
      <c r="E11">
        <v>26</v>
      </c>
      <c r="F11">
        <v>23</v>
      </c>
      <c r="G11">
        <v>2</v>
      </c>
      <c r="H11">
        <v>1</v>
      </c>
      <c r="I11" s="1">
        <f t="shared" si="0"/>
        <v>0.88461538461538458</v>
      </c>
    </row>
    <row r="12" spans="1:9" x14ac:dyDescent="0.3">
      <c r="A12" t="s">
        <v>55</v>
      </c>
      <c r="B12" t="s">
        <v>17</v>
      </c>
      <c r="C12" t="s">
        <v>6</v>
      </c>
      <c r="D12" t="s">
        <v>7</v>
      </c>
      <c r="E12">
        <v>26</v>
      </c>
      <c r="F12">
        <v>22</v>
      </c>
      <c r="G12">
        <v>3</v>
      </c>
      <c r="H12">
        <v>1</v>
      </c>
      <c r="I12" s="1">
        <f t="shared" si="0"/>
        <v>0.84615384615384615</v>
      </c>
    </row>
    <row r="13" spans="1:9" x14ac:dyDescent="0.3">
      <c r="A13" t="s">
        <v>56</v>
      </c>
      <c r="B13" t="s">
        <v>28</v>
      </c>
      <c r="C13" t="s">
        <v>6</v>
      </c>
      <c r="D13" t="s">
        <v>7</v>
      </c>
      <c r="E13">
        <v>26</v>
      </c>
      <c r="F13">
        <v>24</v>
      </c>
      <c r="G13">
        <v>0</v>
      </c>
      <c r="H13">
        <v>2</v>
      </c>
      <c r="I13" s="1">
        <f t="shared" si="0"/>
        <v>0.92307692307692313</v>
      </c>
    </row>
    <row r="14" spans="1:9" x14ac:dyDescent="0.3">
      <c r="A14" t="s">
        <v>57</v>
      </c>
      <c r="B14" t="s">
        <v>32</v>
      </c>
      <c r="C14" t="s">
        <v>18</v>
      </c>
      <c r="D14" t="s">
        <v>7</v>
      </c>
      <c r="E14">
        <v>26</v>
      </c>
      <c r="F14">
        <v>23</v>
      </c>
      <c r="G14">
        <v>3</v>
      </c>
      <c r="H14">
        <v>0</v>
      </c>
      <c r="I14" s="1">
        <f t="shared" si="0"/>
        <v>0.88461538461538458</v>
      </c>
    </row>
    <row r="15" spans="1:9" x14ac:dyDescent="0.3">
      <c r="A15" t="s">
        <v>58</v>
      </c>
      <c r="B15" t="s">
        <v>34</v>
      </c>
      <c r="C15" t="s">
        <v>6</v>
      </c>
      <c r="D15" t="s">
        <v>7</v>
      </c>
      <c r="E15">
        <v>26</v>
      </c>
      <c r="F15">
        <v>26</v>
      </c>
      <c r="G15">
        <v>0</v>
      </c>
      <c r="H15">
        <v>0</v>
      </c>
      <c r="I15" s="1">
        <f t="shared" si="0"/>
        <v>1</v>
      </c>
    </row>
    <row r="16" spans="1:9" x14ac:dyDescent="0.3">
      <c r="A16" t="s">
        <v>59</v>
      </c>
      <c r="B16" t="s">
        <v>26</v>
      </c>
      <c r="C16" t="s">
        <v>6</v>
      </c>
      <c r="D16" t="s">
        <v>7</v>
      </c>
      <c r="E16">
        <v>26</v>
      </c>
      <c r="F16">
        <v>26</v>
      </c>
      <c r="G16">
        <v>0</v>
      </c>
      <c r="H16">
        <v>0</v>
      </c>
      <c r="I16" s="1">
        <f t="shared" si="0"/>
        <v>1</v>
      </c>
    </row>
    <row r="17" spans="1:9" x14ac:dyDescent="0.3">
      <c r="A17" t="s">
        <v>60</v>
      </c>
      <c r="B17" t="s">
        <v>8</v>
      </c>
      <c r="C17" t="s">
        <v>9</v>
      </c>
      <c r="D17" t="s">
        <v>7</v>
      </c>
      <c r="E17">
        <v>26</v>
      </c>
      <c r="F17">
        <v>22</v>
      </c>
      <c r="G17">
        <v>3</v>
      </c>
      <c r="H17">
        <v>1</v>
      </c>
      <c r="I17" s="1">
        <f t="shared" si="0"/>
        <v>0.84615384615384615</v>
      </c>
    </row>
    <row r="18" spans="1:9" x14ac:dyDescent="0.3">
      <c r="A18" t="s">
        <v>61</v>
      </c>
      <c r="B18" t="s">
        <v>24</v>
      </c>
      <c r="C18" t="s">
        <v>12</v>
      </c>
      <c r="D18" t="s">
        <v>7</v>
      </c>
      <c r="E18">
        <v>26</v>
      </c>
      <c r="F18">
        <v>24</v>
      </c>
      <c r="G18">
        <v>0</v>
      </c>
      <c r="H18">
        <v>2</v>
      </c>
      <c r="I18" s="1">
        <f t="shared" si="0"/>
        <v>0.92307692307692313</v>
      </c>
    </row>
    <row r="19" spans="1:9" x14ac:dyDescent="0.3">
      <c r="A19" t="s">
        <v>62</v>
      </c>
      <c r="B19" t="s">
        <v>20</v>
      </c>
      <c r="C19" t="s">
        <v>12</v>
      </c>
      <c r="D19" t="s">
        <v>7</v>
      </c>
      <c r="E19">
        <v>26</v>
      </c>
      <c r="F19">
        <v>24</v>
      </c>
      <c r="G19">
        <v>0</v>
      </c>
      <c r="H19">
        <v>2</v>
      </c>
      <c r="I19" s="1">
        <f t="shared" si="0"/>
        <v>0.92307692307692313</v>
      </c>
    </row>
    <row r="20" spans="1:9" x14ac:dyDescent="0.3">
      <c r="A20" t="s">
        <v>63</v>
      </c>
      <c r="B20" t="s">
        <v>35</v>
      </c>
      <c r="C20" t="s">
        <v>18</v>
      </c>
      <c r="D20" t="s">
        <v>7</v>
      </c>
      <c r="E20">
        <v>26</v>
      </c>
      <c r="F20">
        <v>25</v>
      </c>
      <c r="G20">
        <v>0</v>
      </c>
      <c r="H20">
        <v>1</v>
      </c>
      <c r="I20" s="1">
        <f t="shared" si="0"/>
        <v>0.96153846153846156</v>
      </c>
    </row>
    <row r="21" spans="1:9" x14ac:dyDescent="0.3">
      <c r="A21" t="s">
        <v>64</v>
      </c>
      <c r="B21" t="s">
        <v>25</v>
      </c>
      <c r="C21" t="s">
        <v>15</v>
      </c>
      <c r="D21" t="s">
        <v>7</v>
      </c>
      <c r="E21">
        <v>26</v>
      </c>
      <c r="F21">
        <v>22</v>
      </c>
      <c r="G21">
        <v>3</v>
      </c>
      <c r="H21">
        <v>1</v>
      </c>
      <c r="I21" s="1">
        <f t="shared" si="0"/>
        <v>0.84615384615384615</v>
      </c>
    </row>
    <row r="22" spans="1:9" x14ac:dyDescent="0.3">
      <c r="A22" t="s">
        <v>45</v>
      </c>
      <c r="B22" t="s">
        <v>11</v>
      </c>
      <c r="C22" t="s">
        <v>18</v>
      </c>
      <c r="D22" t="s">
        <v>10</v>
      </c>
      <c r="E22">
        <v>26</v>
      </c>
      <c r="F22">
        <v>25</v>
      </c>
      <c r="G22">
        <v>1</v>
      </c>
      <c r="H22">
        <v>0</v>
      </c>
      <c r="I22" s="1">
        <f t="shared" si="0"/>
        <v>0.96153846153846156</v>
      </c>
    </row>
    <row r="23" spans="1:9" x14ac:dyDescent="0.3">
      <c r="A23" t="s">
        <v>46</v>
      </c>
      <c r="B23" t="s">
        <v>30</v>
      </c>
      <c r="C23" t="s">
        <v>15</v>
      </c>
      <c r="D23" t="s">
        <v>10</v>
      </c>
      <c r="E23">
        <v>26</v>
      </c>
      <c r="F23">
        <v>26</v>
      </c>
      <c r="G23">
        <v>0</v>
      </c>
      <c r="H23">
        <v>0</v>
      </c>
      <c r="I23" s="1">
        <f t="shared" si="0"/>
        <v>1</v>
      </c>
    </row>
    <row r="24" spans="1:9" x14ac:dyDescent="0.3">
      <c r="A24" t="s">
        <v>47</v>
      </c>
      <c r="B24" t="s">
        <v>31</v>
      </c>
      <c r="C24" t="s">
        <v>6</v>
      </c>
      <c r="D24" t="s">
        <v>10</v>
      </c>
      <c r="E24">
        <v>26</v>
      </c>
      <c r="F24">
        <v>24</v>
      </c>
      <c r="G24">
        <v>0</v>
      </c>
      <c r="H24">
        <v>2</v>
      </c>
      <c r="I24" s="1">
        <f t="shared" si="0"/>
        <v>0.92307692307692313</v>
      </c>
    </row>
    <row r="25" spans="1:9" x14ac:dyDescent="0.3">
      <c r="A25" t="s">
        <v>48</v>
      </c>
      <c r="B25" t="s">
        <v>27</v>
      </c>
      <c r="C25" t="s">
        <v>9</v>
      </c>
      <c r="D25" t="s">
        <v>10</v>
      </c>
      <c r="E25">
        <v>26</v>
      </c>
      <c r="F25">
        <v>22</v>
      </c>
      <c r="G25">
        <v>2</v>
      </c>
      <c r="H25">
        <v>2</v>
      </c>
      <c r="I25" s="1">
        <f t="shared" si="0"/>
        <v>0.84615384615384615</v>
      </c>
    </row>
    <row r="26" spans="1:9" x14ac:dyDescent="0.3">
      <c r="A26" t="s">
        <v>49</v>
      </c>
      <c r="B26" t="s">
        <v>33</v>
      </c>
      <c r="C26" t="s">
        <v>18</v>
      </c>
      <c r="D26" t="s">
        <v>10</v>
      </c>
      <c r="E26">
        <v>26</v>
      </c>
      <c r="F26">
        <v>26</v>
      </c>
      <c r="G26">
        <v>0</v>
      </c>
      <c r="H26">
        <v>0</v>
      </c>
      <c r="I26" s="1">
        <f t="shared" si="0"/>
        <v>1</v>
      </c>
    </row>
    <row r="27" spans="1:9" x14ac:dyDescent="0.3">
      <c r="A27" t="s">
        <v>50</v>
      </c>
      <c r="B27" t="s">
        <v>14</v>
      </c>
      <c r="C27" t="s">
        <v>12</v>
      </c>
      <c r="D27" t="s">
        <v>10</v>
      </c>
      <c r="E27">
        <v>26</v>
      </c>
      <c r="F27">
        <v>25</v>
      </c>
      <c r="G27">
        <v>1</v>
      </c>
      <c r="H27">
        <v>0</v>
      </c>
      <c r="I27" s="1">
        <f t="shared" si="0"/>
        <v>0.96153846153846156</v>
      </c>
    </row>
    <row r="28" spans="1:9" x14ac:dyDescent="0.3">
      <c r="A28" t="s">
        <v>51</v>
      </c>
      <c r="B28" t="s">
        <v>23</v>
      </c>
      <c r="C28" t="s">
        <v>18</v>
      </c>
      <c r="D28" t="s">
        <v>10</v>
      </c>
      <c r="E28">
        <v>26</v>
      </c>
      <c r="F28">
        <v>24</v>
      </c>
      <c r="G28">
        <v>0</v>
      </c>
      <c r="H28">
        <v>2</v>
      </c>
      <c r="I28" s="1">
        <f t="shared" si="0"/>
        <v>0.92307692307692313</v>
      </c>
    </row>
    <row r="29" spans="1:9" x14ac:dyDescent="0.3">
      <c r="A29" t="s">
        <v>52</v>
      </c>
      <c r="B29" t="s">
        <v>36</v>
      </c>
      <c r="C29" t="s">
        <v>12</v>
      </c>
      <c r="D29" t="s">
        <v>10</v>
      </c>
      <c r="E29">
        <v>26</v>
      </c>
      <c r="F29">
        <v>24</v>
      </c>
      <c r="G29">
        <v>0</v>
      </c>
      <c r="H29">
        <v>2</v>
      </c>
      <c r="I29" s="1">
        <f t="shared" si="0"/>
        <v>0.92307692307692313</v>
      </c>
    </row>
    <row r="30" spans="1:9" x14ac:dyDescent="0.3">
      <c r="A30" t="s">
        <v>53</v>
      </c>
      <c r="B30" t="s">
        <v>37</v>
      </c>
      <c r="C30" t="s">
        <v>15</v>
      </c>
      <c r="D30" t="s">
        <v>10</v>
      </c>
      <c r="E30">
        <v>26</v>
      </c>
      <c r="F30">
        <v>26</v>
      </c>
      <c r="G30">
        <v>0</v>
      </c>
      <c r="H30">
        <v>0</v>
      </c>
      <c r="I30" s="1">
        <f t="shared" si="0"/>
        <v>1</v>
      </c>
    </row>
    <row r="31" spans="1:9" x14ac:dyDescent="0.3">
      <c r="A31" t="s">
        <v>54</v>
      </c>
      <c r="B31" t="s">
        <v>29</v>
      </c>
      <c r="C31" t="s">
        <v>9</v>
      </c>
      <c r="D31" t="s">
        <v>10</v>
      </c>
      <c r="E31">
        <v>26</v>
      </c>
      <c r="F31">
        <v>26</v>
      </c>
      <c r="G31">
        <v>0</v>
      </c>
      <c r="H31">
        <v>0</v>
      </c>
      <c r="I31" s="1">
        <f t="shared" si="0"/>
        <v>1</v>
      </c>
    </row>
    <row r="32" spans="1:9" x14ac:dyDescent="0.3">
      <c r="A32" t="s">
        <v>55</v>
      </c>
      <c r="B32" t="s">
        <v>17</v>
      </c>
      <c r="C32" t="s">
        <v>6</v>
      </c>
      <c r="D32" t="s">
        <v>10</v>
      </c>
      <c r="E32">
        <v>26</v>
      </c>
      <c r="F32">
        <v>23</v>
      </c>
      <c r="G32">
        <v>3</v>
      </c>
      <c r="H32">
        <v>0</v>
      </c>
      <c r="I32" s="1">
        <f t="shared" si="0"/>
        <v>0.88461538461538458</v>
      </c>
    </row>
    <row r="33" spans="1:9" x14ac:dyDescent="0.3">
      <c r="A33" t="s">
        <v>56</v>
      </c>
      <c r="B33" t="s">
        <v>28</v>
      </c>
      <c r="C33" t="s">
        <v>12</v>
      </c>
      <c r="D33" t="s">
        <v>10</v>
      </c>
      <c r="E33">
        <v>26</v>
      </c>
      <c r="F33">
        <v>25</v>
      </c>
      <c r="G33">
        <v>1</v>
      </c>
      <c r="H33">
        <v>0</v>
      </c>
      <c r="I33" s="1">
        <f t="shared" si="0"/>
        <v>0.96153846153846156</v>
      </c>
    </row>
    <row r="34" spans="1:9" x14ac:dyDescent="0.3">
      <c r="A34" t="s">
        <v>57</v>
      </c>
      <c r="B34" t="s">
        <v>32</v>
      </c>
      <c r="C34" t="s">
        <v>12</v>
      </c>
      <c r="D34" t="s">
        <v>10</v>
      </c>
      <c r="E34">
        <v>26</v>
      </c>
      <c r="F34">
        <v>23</v>
      </c>
      <c r="G34">
        <v>3</v>
      </c>
      <c r="H34">
        <v>0</v>
      </c>
      <c r="I34" s="1">
        <f t="shared" si="0"/>
        <v>0.88461538461538458</v>
      </c>
    </row>
    <row r="35" spans="1:9" x14ac:dyDescent="0.3">
      <c r="A35" t="s">
        <v>58</v>
      </c>
      <c r="B35" t="s">
        <v>34</v>
      </c>
      <c r="C35" t="s">
        <v>15</v>
      </c>
      <c r="D35" t="s">
        <v>10</v>
      </c>
      <c r="E35">
        <v>26</v>
      </c>
      <c r="F35">
        <v>23</v>
      </c>
      <c r="G35">
        <v>1</v>
      </c>
      <c r="H35">
        <v>2</v>
      </c>
      <c r="I35" s="1">
        <f t="shared" si="0"/>
        <v>0.88461538461538458</v>
      </c>
    </row>
    <row r="36" spans="1:9" x14ac:dyDescent="0.3">
      <c r="A36" t="s">
        <v>59</v>
      </c>
      <c r="B36" t="s">
        <v>26</v>
      </c>
      <c r="C36" t="s">
        <v>12</v>
      </c>
      <c r="D36" t="s">
        <v>10</v>
      </c>
      <c r="E36">
        <v>26</v>
      </c>
      <c r="F36">
        <v>24</v>
      </c>
      <c r="G36">
        <v>0</v>
      </c>
      <c r="H36">
        <v>2</v>
      </c>
      <c r="I36" s="1">
        <f t="shared" si="0"/>
        <v>0.92307692307692313</v>
      </c>
    </row>
    <row r="37" spans="1:9" x14ac:dyDescent="0.3">
      <c r="A37" t="s">
        <v>60</v>
      </c>
      <c r="B37" t="s">
        <v>8</v>
      </c>
      <c r="C37" t="s">
        <v>6</v>
      </c>
      <c r="D37" t="s">
        <v>10</v>
      </c>
      <c r="E37">
        <v>26</v>
      </c>
      <c r="F37">
        <v>26</v>
      </c>
      <c r="G37">
        <v>0</v>
      </c>
      <c r="H37">
        <v>0</v>
      </c>
      <c r="I37" s="1">
        <f t="shared" si="0"/>
        <v>1</v>
      </c>
    </row>
    <row r="38" spans="1:9" x14ac:dyDescent="0.3">
      <c r="A38" t="s">
        <v>61</v>
      </c>
      <c r="B38" t="s">
        <v>24</v>
      </c>
      <c r="C38" t="s">
        <v>18</v>
      </c>
      <c r="D38" t="s">
        <v>10</v>
      </c>
      <c r="E38">
        <v>26</v>
      </c>
      <c r="F38">
        <v>24</v>
      </c>
      <c r="G38">
        <v>1</v>
      </c>
      <c r="H38">
        <v>1</v>
      </c>
      <c r="I38" s="1">
        <f t="shared" si="0"/>
        <v>0.92307692307692313</v>
      </c>
    </row>
    <row r="39" spans="1:9" x14ac:dyDescent="0.3">
      <c r="A39" t="s">
        <v>62</v>
      </c>
      <c r="B39" t="s">
        <v>20</v>
      </c>
      <c r="C39" t="s">
        <v>12</v>
      </c>
      <c r="D39" t="s">
        <v>10</v>
      </c>
      <c r="E39">
        <v>26</v>
      </c>
      <c r="F39">
        <v>23</v>
      </c>
      <c r="G39">
        <v>3</v>
      </c>
      <c r="H39">
        <v>0</v>
      </c>
      <c r="I39" s="1">
        <f t="shared" si="0"/>
        <v>0.88461538461538458</v>
      </c>
    </row>
    <row r="40" spans="1:9" x14ac:dyDescent="0.3">
      <c r="A40" t="s">
        <v>63</v>
      </c>
      <c r="B40" t="s">
        <v>35</v>
      </c>
      <c r="C40" t="s">
        <v>6</v>
      </c>
      <c r="D40" t="s">
        <v>10</v>
      </c>
      <c r="E40">
        <v>26</v>
      </c>
      <c r="F40">
        <v>25</v>
      </c>
      <c r="G40">
        <v>1</v>
      </c>
      <c r="H40">
        <v>0</v>
      </c>
      <c r="I40" s="1">
        <f t="shared" si="0"/>
        <v>0.96153846153846156</v>
      </c>
    </row>
    <row r="41" spans="1:9" x14ac:dyDescent="0.3">
      <c r="A41" t="s">
        <v>64</v>
      </c>
      <c r="B41" t="s">
        <v>25</v>
      </c>
      <c r="C41" t="s">
        <v>9</v>
      </c>
      <c r="D41" t="s">
        <v>10</v>
      </c>
      <c r="E41">
        <v>26</v>
      </c>
      <c r="F41">
        <v>25</v>
      </c>
      <c r="G41">
        <v>0</v>
      </c>
      <c r="H41">
        <v>1</v>
      </c>
      <c r="I41" s="1">
        <f t="shared" si="0"/>
        <v>0.96153846153846156</v>
      </c>
    </row>
    <row r="42" spans="1:9" x14ac:dyDescent="0.3">
      <c r="A42" t="s">
        <v>45</v>
      </c>
      <c r="B42" t="s">
        <v>11</v>
      </c>
      <c r="C42" t="s">
        <v>9</v>
      </c>
      <c r="D42" t="s">
        <v>13</v>
      </c>
      <c r="E42">
        <v>26</v>
      </c>
      <c r="F42">
        <v>22</v>
      </c>
      <c r="G42">
        <v>3</v>
      </c>
      <c r="H42">
        <v>1</v>
      </c>
      <c r="I42" s="1">
        <f t="shared" si="0"/>
        <v>0.84615384615384615</v>
      </c>
    </row>
    <row r="43" spans="1:9" x14ac:dyDescent="0.3">
      <c r="A43" t="s">
        <v>46</v>
      </c>
      <c r="B43" t="s">
        <v>30</v>
      </c>
      <c r="C43" t="s">
        <v>6</v>
      </c>
      <c r="D43" t="s">
        <v>13</v>
      </c>
      <c r="E43">
        <v>26</v>
      </c>
      <c r="F43">
        <v>24</v>
      </c>
      <c r="G43">
        <v>2</v>
      </c>
      <c r="H43">
        <v>0</v>
      </c>
      <c r="I43" s="1">
        <f t="shared" si="0"/>
        <v>0.92307692307692313</v>
      </c>
    </row>
    <row r="44" spans="1:9" x14ac:dyDescent="0.3">
      <c r="A44" t="s">
        <v>47</v>
      </c>
      <c r="B44" t="s">
        <v>31</v>
      </c>
      <c r="C44" t="s">
        <v>15</v>
      </c>
      <c r="D44" t="s">
        <v>13</v>
      </c>
      <c r="E44">
        <v>26</v>
      </c>
      <c r="F44">
        <v>22</v>
      </c>
      <c r="G44">
        <v>2</v>
      </c>
      <c r="H44">
        <v>2</v>
      </c>
      <c r="I44" s="1">
        <f t="shared" si="0"/>
        <v>0.84615384615384615</v>
      </c>
    </row>
    <row r="45" spans="1:9" x14ac:dyDescent="0.3">
      <c r="A45" t="s">
        <v>48</v>
      </c>
      <c r="B45" t="s">
        <v>27</v>
      </c>
      <c r="C45" t="s">
        <v>18</v>
      </c>
      <c r="D45" t="s">
        <v>13</v>
      </c>
      <c r="E45">
        <v>26</v>
      </c>
      <c r="F45">
        <v>26</v>
      </c>
      <c r="G45">
        <v>0</v>
      </c>
      <c r="H45">
        <v>0</v>
      </c>
      <c r="I45" s="1">
        <f t="shared" si="0"/>
        <v>1</v>
      </c>
    </row>
    <row r="46" spans="1:9" x14ac:dyDescent="0.3">
      <c r="A46" t="s">
        <v>49</v>
      </c>
      <c r="B46" t="s">
        <v>33</v>
      </c>
      <c r="C46" t="s">
        <v>15</v>
      </c>
      <c r="D46" t="s">
        <v>13</v>
      </c>
      <c r="E46">
        <v>26</v>
      </c>
      <c r="F46">
        <v>26</v>
      </c>
      <c r="G46">
        <v>0</v>
      </c>
      <c r="H46">
        <v>0</v>
      </c>
      <c r="I46" s="1">
        <f t="shared" si="0"/>
        <v>1</v>
      </c>
    </row>
    <row r="47" spans="1:9" x14ac:dyDescent="0.3">
      <c r="A47" t="s">
        <v>50</v>
      </c>
      <c r="B47" t="s">
        <v>14</v>
      </c>
      <c r="C47" t="s">
        <v>9</v>
      </c>
      <c r="D47" t="s">
        <v>13</v>
      </c>
      <c r="E47">
        <v>26</v>
      </c>
      <c r="F47">
        <v>24</v>
      </c>
      <c r="G47">
        <v>2</v>
      </c>
      <c r="H47">
        <v>0</v>
      </c>
      <c r="I47" s="1">
        <f t="shared" si="0"/>
        <v>0.92307692307692313</v>
      </c>
    </row>
    <row r="48" spans="1:9" x14ac:dyDescent="0.3">
      <c r="A48" t="s">
        <v>51</v>
      </c>
      <c r="B48" t="s">
        <v>23</v>
      </c>
      <c r="C48" t="s">
        <v>6</v>
      </c>
      <c r="D48" t="s">
        <v>13</v>
      </c>
      <c r="E48">
        <v>26</v>
      </c>
      <c r="F48">
        <v>24</v>
      </c>
      <c r="G48">
        <v>0</v>
      </c>
      <c r="H48">
        <v>2</v>
      </c>
      <c r="I48" s="1">
        <f t="shared" si="0"/>
        <v>0.92307692307692313</v>
      </c>
    </row>
    <row r="49" spans="1:9" x14ac:dyDescent="0.3">
      <c r="A49" t="s">
        <v>52</v>
      </c>
      <c r="B49" t="s">
        <v>36</v>
      </c>
      <c r="C49" t="s">
        <v>18</v>
      </c>
      <c r="D49" t="s">
        <v>13</v>
      </c>
      <c r="E49">
        <v>26</v>
      </c>
      <c r="F49">
        <v>23</v>
      </c>
      <c r="G49">
        <v>2</v>
      </c>
      <c r="H49">
        <v>1</v>
      </c>
      <c r="I49" s="1">
        <f t="shared" si="0"/>
        <v>0.88461538461538458</v>
      </c>
    </row>
    <row r="50" spans="1:9" x14ac:dyDescent="0.3">
      <c r="A50" t="s">
        <v>53</v>
      </c>
      <c r="B50" t="s">
        <v>37</v>
      </c>
      <c r="C50" t="s">
        <v>6</v>
      </c>
      <c r="D50" t="s">
        <v>13</v>
      </c>
      <c r="E50">
        <v>26</v>
      </c>
      <c r="F50">
        <v>25</v>
      </c>
      <c r="G50">
        <v>0</v>
      </c>
      <c r="H50">
        <v>1</v>
      </c>
      <c r="I50" s="1">
        <f t="shared" si="0"/>
        <v>0.96153846153846156</v>
      </c>
    </row>
    <row r="51" spans="1:9" x14ac:dyDescent="0.3">
      <c r="A51" t="s">
        <v>54</v>
      </c>
      <c r="B51" t="s">
        <v>29</v>
      </c>
      <c r="C51" t="s">
        <v>9</v>
      </c>
      <c r="D51" t="s">
        <v>13</v>
      </c>
      <c r="E51">
        <v>26</v>
      </c>
      <c r="F51">
        <v>24</v>
      </c>
      <c r="G51">
        <v>1</v>
      </c>
      <c r="H51">
        <v>1</v>
      </c>
      <c r="I51" s="1">
        <f t="shared" si="0"/>
        <v>0.92307692307692313</v>
      </c>
    </row>
    <row r="52" spans="1:9" x14ac:dyDescent="0.3">
      <c r="A52" t="s">
        <v>55</v>
      </c>
      <c r="B52" t="s">
        <v>17</v>
      </c>
      <c r="C52" t="s">
        <v>15</v>
      </c>
      <c r="D52" t="s">
        <v>13</v>
      </c>
      <c r="E52">
        <v>26</v>
      </c>
      <c r="F52">
        <v>24</v>
      </c>
      <c r="G52">
        <v>0</v>
      </c>
      <c r="H52">
        <v>2</v>
      </c>
      <c r="I52" s="1">
        <f t="shared" si="0"/>
        <v>0.92307692307692313</v>
      </c>
    </row>
    <row r="53" spans="1:9" x14ac:dyDescent="0.3">
      <c r="A53" t="s">
        <v>56</v>
      </c>
      <c r="B53" t="s">
        <v>28</v>
      </c>
      <c r="C53" t="s">
        <v>15</v>
      </c>
      <c r="D53" t="s">
        <v>13</v>
      </c>
      <c r="E53">
        <v>26</v>
      </c>
      <c r="F53">
        <v>26</v>
      </c>
      <c r="G53">
        <v>0</v>
      </c>
      <c r="H53">
        <v>0</v>
      </c>
      <c r="I53" s="1">
        <f t="shared" si="0"/>
        <v>1</v>
      </c>
    </row>
    <row r="54" spans="1:9" x14ac:dyDescent="0.3">
      <c r="A54" t="s">
        <v>57</v>
      </c>
      <c r="B54" t="s">
        <v>32</v>
      </c>
      <c r="C54" t="s">
        <v>12</v>
      </c>
      <c r="D54" t="s">
        <v>13</v>
      </c>
      <c r="E54">
        <v>26</v>
      </c>
      <c r="F54">
        <v>21</v>
      </c>
      <c r="G54">
        <v>3</v>
      </c>
      <c r="H54">
        <v>2</v>
      </c>
      <c r="I54" s="1">
        <f t="shared" si="0"/>
        <v>0.80769230769230771</v>
      </c>
    </row>
    <row r="55" spans="1:9" x14ac:dyDescent="0.3">
      <c r="A55" t="s">
        <v>58</v>
      </c>
      <c r="B55" t="s">
        <v>34</v>
      </c>
      <c r="C55" t="s">
        <v>12</v>
      </c>
      <c r="D55" t="s">
        <v>13</v>
      </c>
      <c r="E55">
        <v>26</v>
      </c>
      <c r="F55">
        <v>25</v>
      </c>
      <c r="G55">
        <v>0</v>
      </c>
      <c r="H55">
        <v>1</v>
      </c>
      <c r="I55" s="1">
        <f t="shared" si="0"/>
        <v>0.96153846153846156</v>
      </c>
    </row>
    <row r="56" spans="1:9" x14ac:dyDescent="0.3">
      <c r="A56" t="s">
        <v>59</v>
      </c>
      <c r="B56" t="s">
        <v>26</v>
      </c>
      <c r="C56" t="s">
        <v>9</v>
      </c>
      <c r="D56" t="s">
        <v>13</v>
      </c>
      <c r="E56">
        <v>26</v>
      </c>
      <c r="F56">
        <v>23</v>
      </c>
      <c r="G56">
        <v>2</v>
      </c>
      <c r="H56">
        <v>1</v>
      </c>
      <c r="I56" s="1">
        <f t="shared" si="0"/>
        <v>0.88461538461538458</v>
      </c>
    </row>
    <row r="57" spans="1:9" x14ac:dyDescent="0.3">
      <c r="A57" t="s">
        <v>60</v>
      </c>
      <c r="B57" t="s">
        <v>8</v>
      </c>
      <c r="C57" t="s">
        <v>9</v>
      </c>
      <c r="D57" t="s">
        <v>13</v>
      </c>
      <c r="E57">
        <v>26</v>
      </c>
      <c r="F57">
        <v>21</v>
      </c>
      <c r="G57">
        <v>3</v>
      </c>
      <c r="H57">
        <v>2</v>
      </c>
      <c r="I57" s="1">
        <f t="shared" si="0"/>
        <v>0.80769230769230771</v>
      </c>
    </row>
    <row r="58" spans="1:9" x14ac:dyDescent="0.3">
      <c r="A58" t="s">
        <v>61</v>
      </c>
      <c r="B58" t="s">
        <v>24</v>
      </c>
      <c r="C58" t="s">
        <v>6</v>
      </c>
      <c r="D58" t="s">
        <v>13</v>
      </c>
      <c r="E58">
        <v>26</v>
      </c>
      <c r="F58">
        <v>24</v>
      </c>
      <c r="G58">
        <v>0</v>
      </c>
      <c r="H58">
        <v>2</v>
      </c>
      <c r="I58" s="1">
        <f t="shared" si="0"/>
        <v>0.92307692307692313</v>
      </c>
    </row>
    <row r="59" spans="1:9" x14ac:dyDescent="0.3">
      <c r="A59" t="s">
        <v>62</v>
      </c>
      <c r="B59" t="s">
        <v>20</v>
      </c>
      <c r="C59" t="s">
        <v>6</v>
      </c>
      <c r="D59" t="s">
        <v>13</v>
      </c>
      <c r="E59">
        <v>26</v>
      </c>
      <c r="F59">
        <v>25</v>
      </c>
      <c r="G59">
        <v>0</v>
      </c>
      <c r="H59">
        <v>1</v>
      </c>
      <c r="I59" s="1">
        <f t="shared" si="0"/>
        <v>0.96153846153846156</v>
      </c>
    </row>
    <row r="60" spans="1:9" x14ac:dyDescent="0.3">
      <c r="A60" t="s">
        <v>63</v>
      </c>
      <c r="B60" t="s">
        <v>35</v>
      </c>
      <c r="C60" t="s">
        <v>15</v>
      </c>
      <c r="D60" t="s">
        <v>13</v>
      </c>
      <c r="E60">
        <v>26</v>
      </c>
      <c r="F60">
        <v>26</v>
      </c>
      <c r="G60">
        <v>0</v>
      </c>
      <c r="H60">
        <v>0</v>
      </c>
      <c r="I60" s="1">
        <f t="shared" si="0"/>
        <v>1</v>
      </c>
    </row>
    <row r="61" spans="1:9" x14ac:dyDescent="0.3">
      <c r="A61" t="s">
        <v>64</v>
      </c>
      <c r="B61" t="s">
        <v>25</v>
      </c>
      <c r="C61" t="s">
        <v>12</v>
      </c>
      <c r="D61" t="s">
        <v>13</v>
      </c>
      <c r="E61">
        <v>26</v>
      </c>
      <c r="F61">
        <v>22</v>
      </c>
      <c r="G61">
        <v>2</v>
      </c>
      <c r="H61">
        <v>2</v>
      </c>
      <c r="I61" s="1">
        <f t="shared" si="0"/>
        <v>0.84615384615384615</v>
      </c>
    </row>
    <row r="62" spans="1:9" x14ac:dyDescent="0.3">
      <c r="A62" t="s">
        <v>45</v>
      </c>
      <c r="B62" t="s">
        <v>11</v>
      </c>
      <c r="C62" t="s">
        <v>9</v>
      </c>
      <c r="D62" t="s">
        <v>16</v>
      </c>
      <c r="E62">
        <v>26</v>
      </c>
      <c r="F62">
        <v>24</v>
      </c>
      <c r="G62">
        <v>1</v>
      </c>
      <c r="H62">
        <v>1</v>
      </c>
      <c r="I62" s="1">
        <f t="shared" si="0"/>
        <v>0.92307692307692313</v>
      </c>
    </row>
    <row r="63" spans="1:9" x14ac:dyDescent="0.3">
      <c r="A63" t="s">
        <v>46</v>
      </c>
      <c r="B63" t="s">
        <v>30</v>
      </c>
      <c r="C63" t="s">
        <v>18</v>
      </c>
      <c r="D63" t="s">
        <v>16</v>
      </c>
      <c r="E63">
        <v>26</v>
      </c>
      <c r="F63">
        <v>23</v>
      </c>
      <c r="G63">
        <v>3</v>
      </c>
      <c r="H63">
        <v>0</v>
      </c>
      <c r="I63" s="1">
        <f t="shared" si="0"/>
        <v>0.88461538461538458</v>
      </c>
    </row>
    <row r="64" spans="1:9" x14ac:dyDescent="0.3">
      <c r="A64" t="s">
        <v>47</v>
      </c>
      <c r="B64" t="s">
        <v>31</v>
      </c>
      <c r="C64" t="s">
        <v>12</v>
      </c>
      <c r="D64" t="s">
        <v>16</v>
      </c>
      <c r="E64">
        <v>26</v>
      </c>
      <c r="F64">
        <v>24</v>
      </c>
      <c r="G64">
        <v>0</v>
      </c>
      <c r="H64">
        <v>2</v>
      </c>
      <c r="I64" s="1">
        <f t="shared" si="0"/>
        <v>0.92307692307692313</v>
      </c>
    </row>
    <row r="65" spans="1:9" x14ac:dyDescent="0.3">
      <c r="A65" t="s">
        <v>48</v>
      </c>
      <c r="B65" t="s">
        <v>27</v>
      </c>
      <c r="C65" t="s">
        <v>6</v>
      </c>
      <c r="D65" t="s">
        <v>16</v>
      </c>
      <c r="E65">
        <v>26</v>
      </c>
      <c r="F65">
        <v>21</v>
      </c>
      <c r="G65">
        <v>3</v>
      </c>
      <c r="H65">
        <v>2</v>
      </c>
      <c r="I65" s="1">
        <f t="shared" si="0"/>
        <v>0.80769230769230771</v>
      </c>
    </row>
    <row r="66" spans="1:9" x14ac:dyDescent="0.3">
      <c r="A66" t="s">
        <v>49</v>
      </c>
      <c r="B66" t="s">
        <v>33</v>
      </c>
      <c r="C66" t="s">
        <v>12</v>
      </c>
      <c r="D66" t="s">
        <v>16</v>
      </c>
      <c r="E66">
        <v>26</v>
      </c>
      <c r="F66">
        <v>22</v>
      </c>
      <c r="G66">
        <v>2</v>
      </c>
      <c r="H66">
        <v>2</v>
      </c>
      <c r="I66" s="1">
        <f t="shared" si="0"/>
        <v>0.84615384615384615</v>
      </c>
    </row>
    <row r="67" spans="1:9" x14ac:dyDescent="0.3">
      <c r="A67" t="s">
        <v>50</v>
      </c>
      <c r="B67" t="s">
        <v>14</v>
      </c>
      <c r="C67" t="s">
        <v>18</v>
      </c>
      <c r="D67" t="s">
        <v>16</v>
      </c>
      <c r="E67">
        <v>26</v>
      </c>
      <c r="F67">
        <v>21</v>
      </c>
      <c r="G67">
        <v>3</v>
      </c>
      <c r="H67">
        <v>2</v>
      </c>
      <c r="I67" s="1">
        <f t="shared" ref="I67:I121" si="1" xml:space="preserve"> F67/E67</f>
        <v>0.80769230769230771</v>
      </c>
    </row>
    <row r="68" spans="1:9" x14ac:dyDescent="0.3">
      <c r="A68" t="s">
        <v>51</v>
      </c>
      <c r="B68" t="s">
        <v>23</v>
      </c>
      <c r="C68" t="s">
        <v>6</v>
      </c>
      <c r="D68" t="s">
        <v>16</v>
      </c>
      <c r="E68">
        <v>26</v>
      </c>
      <c r="F68">
        <v>22</v>
      </c>
      <c r="G68">
        <v>2</v>
      </c>
      <c r="H68">
        <v>2</v>
      </c>
      <c r="I68" s="1">
        <f t="shared" si="1"/>
        <v>0.84615384615384615</v>
      </c>
    </row>
    <row r="69" spans="1:9" x14ac:dyDescent="0.3">
      <c r="A69" t="s">
        <v>52</v>
      </c>
      <c r="B69" t="s">
        <v>36</v>
      </c>
      <c r="C69" t="s">
        <v>12</v>
      </c>
      <c r="D69" t="s">
        <v>16</v>
      </c>
      <c r="E69">
        <v>26</v>
      </c>
      <c r="F69">
        <v>24</v>
      </c>
      <c r="G69">
        <v>2</v>
      </c>
      <c r="H69">
        <v>0</v>
      </c>
      <c r="I69" s="1">
        <f t="shared" si="1"/>
        <v>0.92307692307692313</v>
      </c>
    </row>
    <row r="70" spans="1:9" x14ac:dyDescent="0.3">
      <c r="A70" t="s">
        <v>53</v>
      </c>
      <c r="B70" t="s">
        <v>37</v>
      </c>
      <c r="C70" t="s">
        <v>6</v>
      </c>
      <c r="D70" t="s">
        <v>16</v>
      </c>
      <c r="E70">
        <v>26</v>
      </c>
      <c r="F70">
        <v>24</v>
      </c>
      <c r="G70">
        <v>1</v>
      </c>
      <c r="H70">
        <v>1</v>
      </c>
      <c r="I70" s="1">
        <f t="shared" si="1"/>
        <v>0.92307692307692313</v>
      </c>
    </row>
    <row r="71" spans="1:9" x14ac:dyDescent="0.3">
      <c r="A71" t="s">
        <v>54</v>
      </c>
      <c r="B71" t="s">
        <v>29</v>
      </c>
      <c r="C71" t="s">
        <v>15</v>
      </c>
      <c r="D71" t="s">
        <v>16</v>
      </c>
      <c r="E71">
        <v>26</v>
      </c>
      <c r="F71">
        <v>25</v>
      </c>
      <c r="G71">
        <v>0</v>
      </c>
      <c r="H71">
        <v>1</v>
      </c>
      <c r="I71" s="1">
        <f t="shared" si="1"/>
        <v>0.96153846153846156</v>
      </c>
    </row>
    <row r="72" spans="1:9" x14ac:dyDescent="0.3">
      <c r="A72" t="s">
        <v>55</v>
      </c>
      <c r="B72" t="s">
        <v>17</v>
      </c>
      <c r="C72" t="s">
        <v>9</v>
      </c>
      <c r="D72" t="s">
        <v>16</v>
      </c>
      <c r="E72">
        <v>26</v>
      </c>
      <c r="F72">
        <v>22</v>
      </c>
      <c r="G72">
        <v>2</v>
      </c>
      <c r="H72">
        <v>2</v>
      </c>
      <c r="I72" s="1">
        <f t="shared" si="1"/>
        <v>0.84615384615384615</v>
      </c>
    </row>
    <row r="73" spans="1:9" x14ac:dyDescent="0.3">
      <c r="A73" t="s">
        <v>56</v>
      </c>
      <c r="B73" t="s">
        <v>28</v>
      </c>
      <c r="C73" t="s">
        <v>9</v>
      </c>
      <c r="D73" t="s">
        <v>16</v>
      </c>
      <c r="E73">
        <v>26</v>
      </c>
      <c r="F73">
        <v>26</v>
      </c>
      <c r="G73">
        <v>0</v>
      </c>
      <c r="H73">
        <v>0</v>
      </c>
      <c r="I73" s="1">
        <f t="shared" si="1"/>
        <v>1</v>
      </c>
    </row>
    <row r="74" spans="1:9" x14ac:dyDescent="0.3">
      <c r="A74" t="s">
        <v>57</v>
      </c>
      <c r="B74" t="s">
        <v>32</v>
      </c>
      <c r="C74" t="s">
        <v>6</v>
      </c>
      <c r="D74" t="s">
        <v>16</v>
      </c>
      <c r="E74">
        <v>26</v>
      </c>
      <c r="F74">
        <v>23</v>
      </c>
      <c r="G74">
        <v>1</v>
      </c>
      <c r="H74">
        <v>2</v>
      </c>
      <c r="I74" s="1">
        <f t="shared" si="1"/>
        <v>0.88461538461538458</v>
      </c>
    </row>
    <row r="75" spans="1:9" x14ac:dyDescent="0.3">
      <c r="A75" t="s">
        <v>58</v>
      </c>
      <c r="B75" t="s">
        <v>34</v>
      </c>
      <c r="C75" t="s">
        <v>6</v>
      </c>
      <c r="D75" t="s">
        <v>16</v>
      </c>
      <c r="E75">
        <v>26</v>
      </c>
      <c r="F75">
        <v>25</v>
      </c>
      <c r="G75">
        <v>1</v>
      </c>
      <c r="H75">
        <v>0</v>
      </c>
      <c r="I75" s="1">
        <f t="shared" si="1"/>
        <v>0.96153846153846156</v>
      </c>
    </row>
    <row r="76" spans="1:9" x14ac:dyDescent="0.3">
      <c r="A76" t="s">
        <v>59</v>
      </c>
      <c r="B76" t="s">
        <v>26</v>
      </c>
      <c r="C76" t="s">
        <v>15</v>
      </c>
      <c r="D76" t="s">
        <v>16</v>
      </c>
      <c r="E76">
        <v>26</v>
      </c>
      <c r="F76">
        <v>22</v>
      </c>
      <c r="G76">
        <v>2</v>
      </c>
      <c r="H76">
        <v>2</v>
      </c>
      <c r="I76" s="1">
        <f t="shared" si="1"/>
        <v>0.84615384615384615</v>
      </c>
    </row>
    <row r="77" spans="1:9" x14ac:dyDescent="0.3">
      <c r="A77" t="s">
        <v>60</v>
      </c>
      <c r="B77" t="s">
        <v>8</v>
      </c>
      <c r="C77" t="s">
        <v>15</v>
      </c>
      <c r="D77" t="s">
        <v>16</v>
      </c>
      <c r="E77">
        <v>26</v>
      </c>
      <c r="F77">
        <v>23</v>
      </c>
      <c r="G77">
        <v>2</v>
      </c>
      <c r="H77">
        <v>1</v>
      </c>
      <c r="I77" s="1">
        <f t="shared" si="1"/>
        <v>0.88461538461538458</v>
      </c>
    </row>
    <row r="78" spans="1:9" x14ac:dyDescent="0.3">
      <c r="A78" t="s">
        <v>61</v>
      </c>
      <c r="B78" t="s">
        <v>24</v>
      </c>
      <c r="C78" t="s">
        <v>18</v>
      </c>
      <c r="D78" t="s">
        <v>16</v>
      </c>
      <c r="E78">
        <v>26</v>
      </c>
      <c r="F78">
        <v>23</v>
      </c>
      <c r="G78">
        <v>3</v>
      </c>
      <c r="H78">
        <v>0</v>
      </c>
      <c r="I78" s="1">
        <f t="shared" si="1"/>
        <v>0.88461538461538458</v>
      </c>
    </row>
    <row r="79" spans="1:9" x14ac:dyDescent="0.3">
      <c r="A79" t="s">
        <v>62</v>
      </c>
      <c r="B79" t="s">
        <v>20</v>
      </c>
      <c r="C79" t="s">
        <v>6</v>
      </c>
      <c r="D79" t="s">
        <v>16</v>
      </c>
      <c r="E79">
        <v>26</v>
      </c>
      <c r="F79">
        <v>24</v>
      </c>
      <c r="G79">
        <v>2</v>
      </c>
      <c r="H79">
        <v>0</v>
      </c>
      <c r="I79" s="1">
        <f t="shared" si="1"/>
        <v>0.92307692307692313</v>
      </c>
    </row>
    <row r="80" spans="1:9" x14ac:dyDescent="0.3">
      <c r="A80" t="s">
        <v>63</v>
      </c>
      <c r="B80" t="s">
        <v>35</v>
      </c>
      <c r="C80" t="s">
        <v>12</v>
      </c>
      <c r="D80" t="s">
        <v>16</v>
      </c>
      <c r="E80">
        <v>26</v>
      </c>
      <c r="F80">
        <v>26</v>
      </c>
      <c r="G80">
        <v>0</v>
      </c>
      <c r="H80">
        <v>0</v>
      </c>
      <c r="I80" s="1">
        <f t="shared" si="1"/>
        <v>1</v>
      </c>
    </row>
    <row r="81" spans="1:9" x14ac:dyDescent="0.3">
      <c r="A81" t="s">
        <v>64</v>
      </c>
      <c r="B81" t="s">
        <v>25</v>
      </c>
      <c r="C81" t="s">
        <v>18</v>
      </c>
      <c r="D81" t="s">
        <v>16</v>
      </c>
      <c r="E81">
        <v>26</v>
      </c>
      <c r="F81">
        <v>25</v>
      </c>
      <c r="G81">
        <v>1</v>
      </c>
      <c r="H81">
        <v>0</v>
      </c>
      <c r="I81" s="1">
        <f t="shared" si="1"/>
        <v>0.96153846153846156</v>
      </c>
    </row>
    <row r="82" spans="1:9" x14ac:dyDescent="0.3">
      <c r="A82" t="s">
        <v>45</v>
      </c>
      <c r="B82" t="s">
        <v>11</v>
      </c>
      <c r="C82" t="s">
        <v>12</v>
      </c>
      <c r="D82" t="s">
        <v>19</v>
      </c>
      <c r="E82">
        <v>26</v>
      </c>
      <c r="F82">
        <v>25</v>
      </c>
      <c r="G82">
        <v>1</v>
      </c>
      <c r="H82">
        <v>0</v>
      </c>
      <c r="I82" s="1">
        <f t="shared" si="1"/>
        <v>0.96153846153846156</v>
      </c>
    </row>
    <row r="83" spans="1:9" x14ac:dyDescent="0.3">
      <c r="A83" t="s">
        <v>46</v>
      </c>
      <c r="B83" t="s">
        <v>30</v>
      </c>
      <c r="C83" t="s">
        <v>9</v>
      </c>
      <c r="D83" t="s">
        <v>19</v>
      </c>
      <c r="E83">
        <v>26</v>
      </c>
      <c r="F83">
        <v>23</v>
      </c>
      <c r="G83">
        <v>2</v>
      </c>
      <c r="H83">
        <v>1</v>
      </c>
      <c r="I83" s="1">
        <f t="shared" si="1"/>
        <v>0.88461538461538458</v>
      </c>
    </row>
    <row r="84" spans="1:9" x14ac:dyDescent="0.3">
      <c r="A84" t="s">
        <v>47</v>
      </c>
      <c r="B84" t="s">
        <v>31</v>
      </c>
      <c r="C84" t="s">
        <v>6</v>
      </c>
      <c r="D84" t="s">
        <v>19</v>
      </c>
      <c r="E84">
        <v>26</v>
      </c>
      <c r="F84">
        <v>22</v>
      </c>
      <c r="G84">
        <v>2</v>
      </c>
      <c r="H84">
        <v>2</v>
      </c>
      <c r="I84" s="1">
        <f t="shared" si="1"/>
        <v>0.84615384615384615</v>
      </c>
    </row>
    <row r="85" spans="1:9" x14ac:dyDescent="0.3">
      <c r="A85" t="s">
        <v>48</v>
      </c>
      <c r="B85" t="s">
        <v>27</v>
      </c>
      <c r="C85" t="s">
        <v>12</v>
      </c>
      <c r="D85" t="s">
        <v>19</v>
      </c>
      <c r="E85">
        <v>26</v>
      </c>
      <c r="F85">
        <v>23</v>
      </c>
      <c r="G85">
        <v>1</v>
      </c>
      <c r="H85">
        <v>2</v>
      </c>
      <c r="I85" s="1">
        <f t="shared" si="1"/>
        <v>0.88461538461538458</v>
      </c>
    </row>
    <row r="86" spans="1:9" x14ac:dyDescent="0.3">
      <c r="A86" t="s">
        <v>49</v>
      </c>
      <c r="B86" t="s">
        <v>33</v>
      </c>
      <c r="C86" t="s">
        <v>9</v>
      </c>
      <c r="D86" t="s">
        <v>19</v>
      </c>
      <c r="E86">
        <v>26</v>
      </c>
      <c r="F86">
        <v>23</v>
      </c>
      <c r="G86">
        <v>1</v>
      </c>
      <c r="H86">
        <v>2</v>
      </c>
      <c r="I86" s="1">
        <f t="shared" si="1"/>
        <v>0.88461538461538458</v>
      </c>
    </row>
    <row r="87" spans="1:9" x14ac:dyDescent="0.3">
      <c r="A87" t="s">
        <v>50</v>
      </c>
      <c r="B87" t="s">
        <v>14</v>
      </c>
      <c r="C87" t="s">
        <v>6</v>
      </c>
      <c r="D87" t="s">
        <v>19</v>
      </c>
      <c r="E87">
        <v>26</v>
      </c>
      <c r="F87">
        <v>22</v>
      </c>
      <c r="G87">
        <v>3</v>
      </c>
      <c r="H87">
        <v>1</v>
      </c>
      <c r="I87" s="1">
        <f t="shared" si="1"/>
        <v>0.84615384615384615</v>
      </c>
    </row>
    <row r="88" spans="1:9" x14ac:dyDescent="0.3">
      <c r="A88" t="s">
        <v>51</v>
      </c>
      <c r="B88" t="s">
        <v>23</v>
      </c>
      <c r="C88" t="s">
        <v>9</v>
      </c>
      <c r="D88" t="s">
        <v>19</v>
      </c>
      <c r="E88">
        <v>26</v>
      </c>
      <c r="F88">
        <v>24</v>
      </c>
      <c r="G88">
        <v>2</v>
      </c>
      <c r="H88">
        <v>0</v>
      </c>
      <c r="I88" s="1">
        <f t="shared" si="1"/>
        <v>0.92307692307692313</v>
      </c>
    </row>
    <row r="89" spans="1:9" x14ac:dyDescent="0.3">
      <c r="A89" t="s">
        <v>52</v>
      </c>
      <c r="B89" t="s">
        <v>36</v>
      </c>
      <c r="C89" t="s">
        <v>12</v>
      </c>
      <c r="D89" t="s">
        <v>19</v>
      </c>
      <c r="E89">
        <v>26</v>
      </c>
      <c r="F89">
        <v>22</v>
      </c>
      <c r="G89">
        <v>2</v>
      </c>
      <c r="H89">
        <v>2</v>
      </c>
      <c r="I89" s="1">
        <f t="shared" si="1"/>
        <v>0.84615384615384615</v>
      </c>
    </row>
    <row r="90" spans="1:9" x14ac:dyDescent="0.3">
      <c r="A90" t="s">
        <v>53</v>
      </c>
      <c r="B90" t="s">
        <v>37</v>
      </c>
      <c r="C90" t="s">
        <v>6</v>
      </c>
      <c r="D90" t="s">
        <v>19</v>
      </c>
      <c r="E90">
        <v>26</v>
      </c>
      <c r="F90">
        <v>24</v>
      </c>
      <c r="G90">
        <v>2</v>
      </c>
      <c r="H90">
        <v>0</v>
      </c>
      <c r="I90" s="1">
        <f t="shared" si="1"/>
        <v>0.92307692307692313</v>
      </c>
    </row>
    <row r="91" spans="1:9" x14ac:dyDescent="0.3">
      <c r="A91" t="s">
        <v>54</v>
      </c>
      <c r="B91" t="s">
        <v>29</v>
      </c>
      <c r="C91" t="s">
        <v>6</v>
      </c>
      <c r="D91" t="s">
        <v>19</v>
      </c>
      <c r="E91">
        <v>26</v>
      </c>
      <c r="F91">
        <v>23</v>
      </c>
      <c r="G91">
        <v>2</v>
      </c>
      <c r="H91">
        <v>1</v>
      </c>
      <c r="I91" s="1">
        <f t="shared" si="1"/>
        <v>0.88461538461538458</v>
      </c>
    </row>
    <row r="92" spans="1:9" x14ac:dyDescent="0.3">
      <c r="A92" t="s">
        <v>55</v>
      </c>
      <c r="B92" t="s">
        <v>17</v>
      </c>
      <c r="C92" t="s">
        <v>6</v>
      </c>
      <c r="D92" t="s">
        <v>19</v>
      </c>
      <c r="E92">
        <v>26</v>
      </c>
      <c r="F92">
        <v>24</v>
      </c>
      <c r="G92">
        <v>0</v>
      </c>
      <c r="H92">
        <v>2</v>
      </c>
      <c r="I92" s="1">
        <f t="shared" si="1"/>
        <v>0.92307692307692313</v>
      </c>
    </row>
    <row r="93" spans="1:9" x14ac:dyDescent="0.3">
      <c r="A93" t="s">
        <v>56</v>
      </c>
      <c r="B93" t="s">
        <v>28</v>
      </c>
      <c r="C93" t="s">
        <v>9</v>
      </c>
      <c r="D93" t="s">
        <v>19</v>
      </c>
      <c r="E93">
        <v>26</v>
      </c>
      <c r="F93">
        <v>25</v>
      </c>
      <c r="G93">
        <v>0</v>
      </c>
      <c r="H93">
        <v>1</v>
      </c>
      <c r="I93" s="1">
        <f t="shared" si="1"/>
        <v>0.96153846153846156</v>
      </c>
    </row>
    <row r="94" spans="1:9" x14ac:dyDescent="0.3">
      <c r="A94" t="s">
        <v>57</v>
      </c>
      <c r="B94" t="s">
        <v>32</v>
      </c>
      <c r="C94" t="s">
        <v>15</v>
      </c>
      <c r="D94" t="s">
        <v>19</v>
      </c>
      <c r="E94">
        <v>26</v>
      </c>
      <c r="F94">
        <v>25</v>
      </c>
      <c r="G94">
        <v>1</v>
      </c>
      <c r="H94">
        <v>0</v>
      </c>
      <c r="I94" s="1">
        <f t="shared" si="1"/>
        <v>0.96153846153846156</v>
      </c>
    </row>
    <row r="95" spans="1:9" x14ac:dyDescent="0.3">
      <c r="A95" t="s">
        <v>58</v>
      </c>
      <c r="B95" t="s">
        <v>34</v>
      </c>
      <c r="C95" t="s">
        <v>9</v>
      </c>
      <c r="D95" t="s">
        <v>19</v>
      </c>
      <c r="E95">
        <v>26</v>
      </c>
      <c r="F95">
        <v>24</v>
      </c>
      <c r="G95">
        <v>1</v>
      </c>
      <c r="H95">
        <v>1</v>
      </c>
      <c r="I95" s="1">
        <f t="shared" si="1"/>
        <v>0.92307692307692313</v>
      </c>
    </row>
    <row r="96" spans="1:9" x14ac:dyDescent="0.3">
      <c r="A96" t="s">
        <v>59</v>
      </c>
      <c r="B96" t="s">
        <v>26</v>
      </c>
      <c r="C96" t="s">
        <v>12</v>
      </c>
      <c r="D96" t="s">
        <v>19</v>
      </c>
      <c r="E96">
        <v>26</v>
      </c>
      <c r="F96">
        <v>21</v>
      </c>
      <c r="G96">
        <v>3</v>
      </c>
      <c r="H96">
        <v>2</v>
      </c>
      <c r="I96" s="1">
        <f t="shared" si="1"/>
        <v>0.80769230769230771</v>
      </c>
    </row>
    <row r="97" spans="1:9" x14ac:dyDescent="0.3">
      <c r="A97" t="s">
        <v>60</v>
      </c>
      <c r="B97" t="s">
        <v>8</v>
      </c>
      <c r="C97" t="s">
        <v>18</v>
      </c>
      <c r="D97" t="s">
        <v>19</v>
      </c>
      <c r="E97">
        <v>26</v>
      </c>
      <c r="F97">
        <v>22</v>
      </c>
      <c r="G97">
        <v>2</v>
      </c>
      <c r="H97">
        <v>2</v>
      </c>
      <c r="I97" s="1">
        <f t="shared" si="1"/>
        <v>0.84615384615384615</v>
      </c>
    </row>
    <row r="98" spans="1:9" x14ac:dyDescent="0.3">
      <c r="A98" t="s">
        <v>61</v>
      </c>
      <c r="B98" t="s">
        <v>24</v>
      </c>
      <c r="C98" t="s">
        <v>15</v>
      </c>
      <c r="D98" t="s">
        <v>19</v>
      </c>
      <c r="E98">
        <v>26</v>
      </c>
      <c r="F98">
        <v>22</v>
      </c>
      <c r="G98">
        <v>2</v>
      </c>
      <c r="H98">
        <v>2</v>
      </c>
      <c r="I98" s="1">
        <f t="shared" si="1"/>
        <v>0.84615384615384615</v>
      </c>
    </row>
    <row r="99" spans="1:9" x14ac:dyDescent="0.3">
      <c r="A99" t="s">
        <v>62</v>
      </c>
      <c r="B99" t="s">
        <v>20</v>
      </c>
      <c r="C99" t="s">
        <v>18</v>
      </c>
      <c r="D99" t="s">
        <v>19</v>
      </c>
      <c r="E99">
        <v>26</v>
      </c>
      <c r="F99">
        <v>21</v>
      </c>
      <c r="G99">
        <v>3</v>
      </c>
      <c r="H99">
        <v>2</v>
      </c>
      <c r="I99" s="1">
        <f t="shared" si="1"/>
        <v>0.80769230769230771</v>
      </c>
    </row>
    <row r="100" spans="1:9" x14ac:dyDescent="0.3">
      <c r="A100" t="s">
        <v>63</v>
      </c>
      <c r="B100" t="s">
        <v>35</v>
      </c>
      <c r="C100" t="s">
        <v>15</v>
      </c>
      <c r="D100" t="s">
        <v>19</v>
      </c>
      <c r="E100">
        <v>26</v>
      </c>
      <c r="F100">
        <v>26</v>
      </c>
      <c r="G100">
        <v>0</v>
      </c>
      <c r="H100">
        <v>0</v>
      </c>
      <c r="I100" s="1">
        <f t="shared" si="1"/>
        <v>1</v>
      </c>
    </row>
    <row r="101" spans="1:9" x14ac:dyDescent="0.3">
      <c r="A101" t="s">
        <v>64</v>
      </c>
      <c r="B101" t="s">
        <v>25</v>
      </c>
      <c r="C101" t="s">
        <v>6</v>
      </c>
      <c r="D101" t="s">
        <v>19</v>
      </c>
      <c r="E101">
        <v>26</v>
      </c>
      <c r="F101">
        <v>24</v>
      </c>
      <c r="G101">
        <v>1</v>
      </c>
      <c r="H101">
        <v>1</v>
      </c>
      <c r="I101" s="1">
        <f t="shared" si="1"/>
        <v>0.92307692307692313</v>
      </c>
    </row>
    <row r="102" spans="1:9" x14ac:dyDescent="0.3">
      <c r="A102" t="s">
        <v>45</v>
      </c>
      <c r="B102" t="s">
        <v>11</v>
      </c>
      <c r="C102" t="s">
        <v>15</v>
      </c>
      <c r="D102" t="s">
        <v>22</v>
      </c>
      <c r="E102">
        <v>26</v>
      </c>
      <c r="F102">
        <v>24</v>
      </c>
      <c r="G102">
        <v>1</v>
      </c>
      <c r="H102">
        <v>1</v>
      </c>
      <c r="I102" s="1">
        <f t="shared" si="1"/>
        <v>0.92307692307692313</v>
      </c>
    </row>
    <row r="103" spans="1:9" x14ac:dyDescent="0.3">
      <c r="A103" t="s">
        <v>46</v>
      </c>
      <c r="B103" t="s">
        <v>30</v>
      </c>
      <c r="C103" t="s">
        <v>9</v>
      </c>
      <c r="D103" t="s">
        <v>22</v>
      </c>
      <c r="E103">
        <v>26</v>
      </c>
      <c r="F103">
        <v>24</v>
      </c>
      <c r="G103">
        <v>1</v>
      </c>
      <c r="H103">
        <v>1</v>
      </c>
      <c r="I103" s="1">
        <f t="shared" si="1"/>
        <v>0.92307692307692313</v>
      </c>
    </row>
    <row r="104" spans="1:9" x14ac:dyDescent="0.3">
      <c r="A104" t="s">
        <v>47</v>
      </c>
      <c r="B104" t="s">
        <v>31</v>
      </c>
      <c r="C104" t="s">
        <v>15</v>
      </c>
      <c r="D104" t="s">
        <v>22</v>
      </c>
      <c r="E104">
        <v>26</v>
      </c>
      <c r="F104">
        <v>21</v>
      </c>
      <c r="G104">
        <v>3</v>
      </c>
      <c r="H104">
        <v>2</v>
      </c>
      <c r="I104" s="1">
        <f t="shared" si="1"/>
        <v>0.80769230769230771</v>
      </c>
    </row>
    <row r="105" spans="1:9" x14ac:dyDescent="0.3">
      <c r="A105" t="s">
        <v>48</v>
      </c>
      <c r="B105" t="s">
        <v>27</v>
      </c>
      <c r="C105" t="s">
        <v>18</v>
      </c>
      <c r="D105" t="s">
        <v>22</v>
      </c>
      <c r="E105">
        <v>26</v>
      </c>
      <c r="F105">
        <v>24</v>
      </c>
      <c r="G105">
        <v>1</v>
      </c>
      <c r="H105">
        <v>1</v>
      </c>
      <c r="I105" s="1">
        <f t="shared" si="1"/>
        <v>0.92307692307692313</v>
      </c>
    </row>
    <row r="106" spans="1:9" x14ac:dyDescent="0.3">
      <c r="A106" t="s">
        <v>49</v>
      </c>
      <c r="B106" t="s">
        <v>33</v>
      </c>
      <c r="C106" t="s">
        <v>9</v>
      </c>
      <c r="D106" t="s">
        <v>22</v>
      </c>
      <c r="E106">
        <v>26</v>
      </c>
      <c r="F106">
        <v>25</v>
      </c>
      <c r="G106">
        <v>0</v>
      </c>
      <c r="H106">
        <v>1</v>
      </c>
      <c r="I106" s="1">
        <f t="shared" si="1"/>
        <v>0.96153846153846156</v>
      </c>
    </row>
    <row r="107" spans="1:9" x14ac:dyDescent="0.3">
      <c r="A107" t="s">
        <v>50</v>
      </c>
      <c r="B107" t="s">
        <v>14</v>
      </c>
      <c r="C107" t="s">
        <v>6</v>
      </c>
      <c r="D107" t="s">
        <v>22</v>
      </c>
      <c r="E107">
        <v>26</v>
      </c>
      <c r="F107">
        <v>21</v>
      </c>
      <c r="G107">
        <v>3</v>
      </c>
      <c r="H107">
        <v>2</v>
      </c>
      <c r="I107" s="1">
        <f t="shared" si="1"/>
        <v>0.80769230769230771</v>
      </c>
    </row>
    <row r="108" spans="1:9" x14ac:dyDescent="0.3">
      <c r="A108" t="s">
        <v>51</v>
      </c>
      <c r="B108" t="s">
        <v>23</v>
      </c>
      <c r="C108" t="s">
        <v>15</v>
      </c>
      <c r="D108" t="s">
        <v>22</v>
      </c>
      <c r="E108">
        <v>26</v>
      </c>
      <c r="F108">
        <v>24</v>
      </c>
      <c r="G108">
        <v>1</v>
      </c>
      <c r="H108">
        <v>1</v>
      </c>
      <c r="I108" s="1">
        <f t="shared" si="1"/>
        <v>0.92307692307692313</v>
      </c>
    </row>
    <row r="109" spans="1:9" x14ac:dyDescent="0.3">
      <c r="A109" t="s">
        <v>52</v>
      </c>
      <c r="B109" t="s">
        <v>36</v>
      </c>
      <c r="C109" t="s">
        <v>9</v>
      </c>
      <c r="D109" t="s">
        <v>22</v>
      </c>
      <c r="E109">
        <v>26</v>
      </c>
      <c r="F109">
        <v>25</v>
      </c>
      <c r="G109">
        <v>1</v>
      </c>
      <c r="H109">
        <v>0</v>
      </c>
      <c r="I109" s="1">
        <f t="shared" si="1"/>
        <v>0.96153846153846156</v>
      </c>
    </row>
    <row r="110" spans="1:9" x14ac:dyDescent="0.3">
      <c r="A110" t="s">
        <v>53</v>
      </c>
      <c r="B110" t="s">
        <v>37</v>
      </c>
      <c r="C110" t="s">
        <v>15</v>
      </c>
      <c r="D110" t="s">
        <v>22</v>
      </c>
      <c r="E110">
        <v>26</v>
      </c>
      <c r="F110">
        <v>23</v>
      </c>
      <c r="G110">
        <v>3</v>
      </c>
      <c r="H110">
        <v>0</v>
      </c>
      <c r="I110" s="1">
        <f t="shared" si="1"/>
        <v>0.88461538461538458</v>
      </c>
    </row>
    <row r="111" spans="1:9" x14ac:dyDescent="0.3">
      <c r="A111" t="s">
        <v>54</v>
      </c>
      <c r="B111" t="s">
        <v>29</v>
      </c>
      <c r="C111" t="s">
        <v>18</v>
      </c>
      <c r="D111" t="s">
        <v>22</v>
      </c>
      <c r="E111">
        <v>26</v>
      </c>
      <c r="F111">
        <v>25</v>
      </c>
      <c r="G111">
        <v>0</v>
      </c>
      <c r="H111">
        <v>1</v>
      </c>
      <c r="I111" s="1">
        <f t="shared" si="1"/>
        <v>0.96153846153846156</v>
      </c>
    </row>
    <row r="112" spans="1:9" x14ac:dyDescent="0.3">
      <c r="A112" t="s">
        <v>55</v>
      </c>
      <c r="B112" t="s">
        <v>17</v>
      </c>
      <c r="C112" t="s">
        <v>9</v>
      </c>
      <c r="D112" t="s">
        <v>22</v>
      </c>
      <c r="E112">
        <v>26</v>
      </c>
      <c r="F112">
        <v>24</v>
      </c>
      <c r="G112">
        <v>2</v>
      </c>
      <c r="H112">
        <v>0</v>
      </c>
      <c r="I112" s="1">
        <f t="shared" si="1"/>
        <v>0.92307692307692313</v>
      </c>
    </row>
    <row r="113" spans="1:9" x14ac:dyDescent="0.3">
      <c r="A113" t="s">
        <v>56</v>
      </c>
      <c r="B113" t="s">
        <v>28</v>
      </c>
      <c r="C113" t="s">
        <v>18</v>
      </c>
      <c r="D113" t="s">
        <v>22</v>
      </c>
      <c r="E113">
        <v>26</v>
      </c>
      <c r="F113">
        <v>24</v>
      </c>
      <c r="G113">
        <v>1</v>
      </c>
      <c r="H113">
        <v>1</v>
      </c>
      <c r="I113" s="1">
        <f t="shared" si="1"/>
        <v>0.92307692307692313</v>
      </c>
    </row>
    <row r="114" spans="1:9" x14ac:dyDescent="0.3">
      <c r="A114" t="s">
        <v>57</v>
      </c>
      <c r="B114" t="s">
        <v>32</v>
      </c>
      <c r="C114" t="s">
        <v>6</v>
      </c>
      <c r="D114" t="s">
        <v>22</v>
      </c>
      <c r="E114">
        <v>26</v>
      </c>
      <c r="F114">
        <v>24</v>
      </c>
      <c r="G114">
        <v>0</v>
      </c>
      <c r="H114">
        <v>2</v>
      </c>
      <c r="I114" s="1">
        <f t="shared" si="1"/>
        <v>0.92307692307692313</v>
      </c>
    </row>
    <row r="115" spans="1:9" x14ac:dyDescent="0.3">
      <c r="A115" t="s">
        <v>58</v>
      </c>
      <c r="B115" t="s">
        <v>34</v>
      </c>
      <c r="C115" t="s">
        <v>12</v>
      </c>
      <c r="D115" t="s">
        <v>22</v>
      </c>
      <c r="E115">
        <v>26</v>
      </c>
      <c r="F115">
        <v>25</v>
      </c>
      <c r="G115">
        <v>0</v>
      </c>
      <c r="H115">
        <v>1</v>
      </c>
      <c r="I115" s="1">
        <f t="shared" si="1"/>
        <v>0.96153846153846156</v>
      </c>
    </row>
    <row r="116" spans="1:9" x14ac:dyDescent="0.3">
      <c r="A116" t="s">
        <v>59</v>
      </c>
      <c r="B116" t="s">
        <v>26</v>
      </c>
      <c r="C116" t="s">
        <v>12</v>
      </c>
      <c r="D116" t="s">
        <v>22</v>
      </c>
      <c r="E116">
        <v>26</v>
      </c>
      <c r="F116">
        <v>23</v>
      </c>
      <c r="G116">
        <v>3</v>
      </c>
      <c r="H116">
        <v>0</v>
      </c>
      <c r="I116" s="1">
        <f t="shared" si="1"/>
        <v>0.88461538461538458</v>
      </c>
    </row>
    <row r="117" spans="1:9" x14ac:dyDescent="0.3">
      <c r="A117" t="s">
        <v>60</v>
      </c>
      <c r="B117" t="s">
        <v>8</v>
      </c>
      <c r="C117" t="s">
        <v>12</v>
      </c>
      <c r="D117" t="s">
        <v>22</v>
      </c>
      <c r="E117">
        <v>26</v>
      </c>
      <c r="F117">
        <v>22</v>
      </c>
      <c r="G117">
        <v>2</v>
      </c>
      <c r="H117">
        <v>2</v>
      </c>
      <c r="I117" s="1">
        <f t="shared" si="1"/>
        <v>0.84615384615384615</v>
      </c>
    </row>
    <row r="118" spans="1:9" x14ac:dyDescent="0.3">
      <c r="A118" t="s">
        <v>61</v>
      </c>
      <c r="B118" t="s">
        <v>24</v>
      </c>
      <c r="C118" t="s">
        <v>9</v>
      </c>
      <c r="D118" t="s">
        <v>22</v>
      </c>
      <c r="E118">
        <v>26</v>
      </c>
      <c r="F118">
        <v>21</v>
      </c>
      <c r="G118">
        <v>3</v>
      </c>
      <c r="H118">
        <v>2</v>
      </c>
      <c r="I118" s="1">
        <f t="shared" si="1"/>
        <v>0.80769230769230771</v>
      </c>
    </row>
    <row r="119" spans="1:9" x14ac:dyDescent="0.3">
      <c r="A119" t="s">
        <v>62</v>
      </c>
      <c r="B119" t="s">
        <v>20</v>
      </c>
      <c r="C119" t="s">
        <v>6</v>
      </c>
      <c r="D119" t="s">
        <v>22</v>
      </c>
      <c r="E119">
        <v>26</v>
      </c>
      <c r="F119">
        <v>23</v>
      </c>
      <c r="G119">
        <v>3</v>
      </c>
      <c r="H119">
        <v>0</v>
      </c>
      <c r="I119" s="1">
        <f t="shared" si="1"/>
        <v>0.88461538461538458</v>
      </c>
    </row>
    <row r="120" spans="1:9" x14ac:dyDescent="0.3">
      <c r="A120" t="s">
        <v>63</v>
      </c>
      <c r="B120" t="s">
        <v>35</v>
      </c>
      <c r="C120" t="s">
        <v>9</v>
      </c>
      <c r="D120" t="s">
        <v>22</v>
      </c>
      <c r="E120">
        <v>26</v>
      </c>
      <c r="F120">
        <v>25</v>
      </c>
      <c r="G120">
        <v>1</v>
      </c>
      <c r="H120">
        <v>0</v>
      </c>
      <c r="I120" s="1">
        <f t="shared" si="1"/>
        <v>0.96153846153846156</v>
      </c>
    </row>
    <row r="121" spans="1:9" x14ac:dyDescent="0.3">
      <c r="A121" t="s">
        <v>64</v>
      </c>
      <c r="B121" t="s">
        <v>25</v>
      </c>
      <c r="C121" t="s">
        <v>18</v>
      </c>
      <c r="D121" t="s">
        <v>22</v>
      </c>
      <c r="E121">
        <v>26</v>
      </c>
      <c r="F121">
        <v>24</v>
      </c>
      <c r="G121">
        <v>0</v>
      </c>
      <c r="H121">
        <v>2</v>
      </c>
      <c r="I121" s="1">
        <f t="shared" si="1"/>
        <v>0.92307692307692313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Raw Data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gayatri shinde</cp:lastModifiedBy>
  <cp:revision/>
  <dcterms:created xsi:type="dcterms:W3CDTF">2026-07-02T16:24:05Z</dcterms:created>
  <dcterms:modified xsi:type="dcterms:W3CDTF">2026-07-13T10:26:19Z</dcterms:modified>
  <cp:category/>
  <cp:contentStatus/>
</cp:coreProperties>
</file>